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hallez\Documents\Général\Recherche\Projets\WaouWaqatali\Fabrication capteur\Documens 2026\"/>
    </mc:Choice>
  </mc:AlternateContent>
  <xr:revisionPtr revIDLastSave="0" documentId="13_ncr:1_{0931D023-A5EC-484D-9CB7-A72107DE8DD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tocole pour cylindre de 40mm" sheetId="1" r:id="rId1"/>
    <sheet name="Données" sheetId="2" r:id="rId2"/>
    <sheet name="Recettes électrolyt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3" l="1"/>
  <c r="D11" i="3"/>
  <c r="D10" i="3"/>
  <c r="D9" i="3"/>
  <c r="D8" i="3"/>
  <c r="D7" i="3"/>
  <c r="D13" i="3" s="1"/>
  <c r="D6" i="3"/>
  <c r="B33" i="1"/>
  <c r="B34" i="1" s="1"/>
  <c r="B25" i="1"/>
  <c r="C17" i="1"/>
  <c r="C18" i="1" s="1"/>
  <c r="B20" i="1" s="1"/>
  <c r="D13" i="1"/>
  <c r="E13" i="1" s="1"/>
  <c r="D11" i="1"/>
  <c r="E11" i="1" s="1"/>
  <c r="D10" i="1"/>
  <c r="E10" i="1" s="1"/>
  <c r="D9" i="1"/>
  <c r="E9" i="1" s="1"/>
  <c r="B9" i="1"/>
  <c r="B27" i="1" s="1"/>
  <c r="D8" i="1"/>
  <c r="E8" i="1" s="1"/>
  <c r="D7" i="1"/>
  <c r="E7" i="1" s="1"/>
  <c r="D6" i="1"/>
  <c r="E6" i="1" s="1"/>
  <c r="B26" i="1" l="1"/>
  <c r="B21" i="1"/>
  <c r="B38" i="1"/>
  <c r="B37" i="1"/>
  <c r="C52" i="1" l="1"/>
  <c r="C50" i="1"/>
  <c r="C49" i="1"/>
  <c r="C48" i="1"/>
  <c r="C47" i="1"/>
  <c r="C46" i="1"/>
  <c r="C45" i="1"/>
  <c r="B40" i="1"/>
  <c r="D40" i="1" s="1"/>
  <c r="B41" i="1"/>
  <c r="D41" i="1" s="1"/>
  <c r="B39" i="1"/>
  <c r="C54" i="1" l="1"/>
  <c r="B42" i="1"/>
  <c r="D39" i="1"/>
</calcChain>
</file>

<file path=xl/sharedStrings.xml><?xml version="1.0" encoding="utf-8"?>
<sst xmlns="http://schemas.openxmlformats.org/spreadsheetml/2006/main" count="76" uniqueCount="62">
  <si>
    <t>Choix de la formulation de l'électrolyte</t>
  </si>
  <si>
    <r>
      <rPr>
        <sz val="11"/>
        <color theme="1"/>
        <rFont val="Calibri"/>
        <family val="2"/>
        <charset val="1"/>
      </rPr>
      <t>Mélanger les masses de solides suivante pour mesurées le α</t>
    </r>
    <r>
      <rPr>
        <vertAlign val="subscript"/>
        <sz val="11"/>
        <color theme="1"/>
        <rFont val="Calibri"/>
        <family val="2"/>
        <charset val="1"/>
      </rPr>
      <t>libre</t>
    </r>
  </si>
  <si>
    <t>Cylindre diam=40mm</t>
  </si>
  <si>
    <t>%massique dans le mélange</t>
  </si>
  <si>
    <t>masse (g) à introduire dans le mélange</t>
  </si>
  <si>
    <t>Formulation n°</t>
  </si>
  <si>
    <t>Ciment</t>
  </si>
  <si>
    <t>Masse mélange (g)</t>
  </si>
  <si>
    <t>Sable</t>
  </si>
  <si>
    <t>Hauteur du mélange t=0 (mm)</t>
  </si>
  <si>
    <t>Gypse</t>
  </si>
  <si>
    <t>Masse volumique (g/cm3)</t>
  </si>
  <si>
    <t>Aluminium</t>
  </si>
  <si>
    <t>Masse volumique corrigée après séchage</t>
  </si>
  <si>
    <t>Chaux</t>
  </si>
  <si>
    <t>Methylcellulose</t>
  </si>
  <si>
    <t>Bien mélanger puis ajouter l'eau juste quand tout est prêt</t>
  </si>
  <si>
    <t>Eau</t>
  </si>
  <si>
    <r>
      <rPr>
        <sz val="11"/>
        <color theme="1"/>
        <rFont val="Calibri"/>
        <family val="2"/>
        <charset val="1"/>
      </rPr>
      <t>Mesure du coéfficient d'expansion libre</t>
    </r>
    <r>
      <rPr>
        <b/>
        <sz val="11"/>
        <color rgb="FFFF0000"/>
        <rFont val="Calibri"/>
        <family val="2"/>
        <charset val="1"/>
      </rPr>
      <t xml:space="preserve"> dans un tube de même diamètre que le capteur final</t>
    </r>
  </si>
  <si>
    <t>(mm)</t>
  </si>
  <si>
    <r>
      <rPr>
        <sz val="11"/>
        <color theme="1"/>
        <rFont val="Calibri"/>
        <family val="2"/>
        <charset val="1"/>
      </rPr>
      <t>L</t>
    </r>
    <r>
      <rPr>
        <vertAlign val="subscript"/>
        <sz val="11"/>
        <color theme="1"/>
        <rFont val="Calibri"/>
        <family val="2"/>
        <charset val="1"/>
      </rPr>
      <t>initiale</t>
    </r>
  </si>
  <si>
    <r>
      <rPr>
        <sz val="11"/>
        <color theme="1"/>
        <rFont val="Calibri"/>
        <family val="2"/>
        <charset val="1"/>
      </rPr>
      <t>L</t>
    </r>
    <r>
      <rPr>
        <vertAlign val="subscript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>=</t>
    </r>
  </si>
  <si>
    <t>mesure de la hauteur de mélange avant expansion</t>
  </si>
  <si>
    <r>
      <rPr>
        <sz val="11"/>
        <color theme="1"/>
        <rFont val="Calibri"/>
        <family val="2"/>
        <charset val="1"/>
      </rPr>
      <t>Δ</t>
    </r>
    <r>
      <rPr>
        <vertAlign val="subscript"/>
        <sz val="11"/>
        <color theme="1"/>
        <rFont val="Calibri"/>
        <family val="2"/>
        <charset val="1"/>
      </rPr>
      <t>libre</t>
    </r>
  </si>
  <si>
    <r>
      <rPr>
        <sz val="11"/>
        <color theme="1"/>
        <rFont val="Calibri"/>
        <family val="2"/>
        <charset val="1"/>
      </rPr>
      <t>L</t>
    </r>
    <r>
      <rPr>
        <vertAlign val="subscript"/>
        <sz val="11"/>
        <color theme="1"/>
        <rFont val="Calibri"/>
        <family val="2"/>
        <charset val="1"/>
      </rPr>
      <t>finale</t>
    </r>
  </si>
  <si>
    <r>
      <rPr>
        <sz val="11"/>
        <color theme="1"/>
        <rFont val="Calibri"/>
        <family val="2"/>
        <charset val="1"/>
      </rPr>
      <t>L</t>
    </r>
    <r>
      <rPr>
        <vertAlign val="subscript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>+ Δ</t>
    </r>
    <r>
      <rPr>
        <vertAlign val="subscript"/>
        <sz val="11"/>
        <color theme="1"/>
        <rFont val="Calibri"/>
        <family val="2"/>
        <charset val="1"/>
      </rPr>
      <t>libre</t>
    </r>
    <r>
      <rPr>
        <sz val="11"/>
        <color theme="1"/>
        <rFont val="Calibri"/>
        <family val="2"/>
        <charset val="1"/>
      </rPr>
      <t xml:space="preserve"> =</t>
    </r>
  </si>
  <si>
    <t>mesure de la hauteur de mélange après expansion</t>
  </si>
  <si>
    <r>
      <rPr>
        <sz val="11"/>
        <color theme="1"/>
        <rFont val="Calibri"/>
        <family val="2"/>
        <charset val="1"/>
      </rPr>
      <t>α</t>
    </r>
    <r>
      <rPr>
        <vertAlign val="subscript"/>
        <sz val="11"/>
        <color theme="1"/>
        <rFont val="Calibri"/>
        <family val="2"/>
        <charset val="1"/>
      </rPr>
      <t>libre</t>
    </r>
  </si>
  <si>
    <t>Porosité libre (%v)</t>
  </si>
  <si>
    <t xml:space="preserve">Calcul bridage des échantillons </t>
  </si>
  <si>
    <r>
      <rPr>
        <sz val="11"/>
        <color theme="1"/>
        <rFont val="Calibri"/>
        <family val="2"/>
        <charset val="1"/>
      </rPr>
      <t>Porosité bridé (%</t>
    </r>
    <r>
      <rPr>
        <vertAlign val="subscript"/>
        <sz val="11"/>
        <color theme="1"/>
        <rFont val="Calibri"/>
        <family val="2"/>
        <charset val="1"/>
      </rPr>
      <t>v</t>
    </r>
    <r>
      <rPr>
        <sz val="11"/>
        <color theme="1"/>
        <rFont val="Calibri"/>
        <family val="2"/>
        <charset val="1"/>
      </rPr>
      <t>)</t>
    </r>
  </si>
  <si>
    <t>SECURITE PMAX</t>
  </si>
  <si>
    <r>
      <rPr>
        <sz val="11"/>
        <color theme="1"/>
        <rFont val="Calibri"/>
        <family val="2"/>
        <charset val="1"/>
      </rPr>
      <t>α</t>
    </r>
    <r>
      <rPr>
        <vertAlign val="subscript"/>
        <sz val="11"/>
        <color theme="1"/>
        <rFont val="Calibri"/>
        <family val="2"/>
        <charset val="1"/>
      </rPr>
      <t>bridé</t>
    </r>
  </si>
  <si>
    <t>Birdage d'expansion β (%)</t>
  </si>
  <si>
    <t>Hydratation maxi (%)</t>
  </si>
  <si>
    <t>masse d'eau / masse totale</t>
  </si>
  <si>
    <t>Fabrication des échantillons bridés</t>
  </si>
  <si>
    <t>Nb de Cylindres de 20m</t>
  </si>
  <si>
    <t>Volume de cylindres de 20mm L=65mm (cm3)</t>
  </si>
  <si>
    <t>Nb de Cylindres de 40mm</t>
  </si>
  <si>
    <t>Volume de cylindres diam=40mm L=100mm (cm3)</t>
  </si>
  <si>
    <t>Nb demi-capteurs de 40mm</t>
  </si>
  <si>
    <t>Volume demi-capteurs diam=40mm L=55mm(cm3)</t>
  </si>
  <si>
    <r>
      <rPr>
        <sz val="11"/>
        <color theme="1"/>
        <rFont val="Calibri"/>
        <family val="2"/>
        <charset val="1"/>
      </rPr>
      <t>Volume total d'électrolyte expansé (cm</t>
    </r>
    <r>
      <rPr>
        <vertAlign val="superscript"/>
        <sz val="11"/>
        <color theme="1"/>
        <rFont val="Calibri"/>
        <family val="2"/>
        <charset val="1"/>
      </rPr>
      <t>3</t>
    </r>
    <r>
      <rPr>
        <sz val="11"/>
        <color theme="1"/>
        <rFont val="Calibri"/>
        <family val="2"/>
        <charset val="1"/>
      </rPr>
      <t>)</t>
    </r>
  </si>
  <si>
    <t>Volume total d'électrolyte avant expansion (cm3)</t>
  </si>
  <si>
    <t>Coéfficient de sécurité (%)</t>
  </si>
  <si>
    <t xml:space="preserve"> </t>
  </si>
  <si>
    <t>Masse de mélange à préparer (g)</t>
  </si>
  <si>
    <t xml:space="preserve">Masse de mélange à preparer sans coeff de sécurité </t>
  </si>
  <si>
    <t>Masse de mélange à mettre dans les demi-capteur (g)</t>
  </si>
  <si>
    <t>Masse de mélange à mettre dans un demi-capteur (g)</t>
  </si>
  <si>
    <t>Masse de mélange à mettre dans les cylindre 40mm (g)</t>
  </si>
  <si>
    <t>Masse de mélange à mettre dans un cylindre 40mm (g)</t>
  </si>
  <si>
    <t>Masse de mélange à mettre dans les cylindre 20mm (g)</t>
  </si>
  <si>
    <t>Masse de mélange à mettre dans un cylindre 20mm (g)</t>
  </si>
  <si>
    <t>masse à introduire dans le mélange</t>
  </si>
  <si>
    <t>Volume de mélange initial pour mesure expansion libre (cm3)</t>
  </si>
  <si>
    <t>Volume de cylindres de 20mm (cm3)</t>
  </si>
  <si>
    <t>Volume de cylindres de 40mm (cm3)</t>
  </si>
  <si>
    <t>Volume demi-capteurs de 40mm (cm3)</t>
  </si>
  <si>
    <t>Formulation</t>
  </si>
  <si>
    <t>ENREGISTRER CE FICHIER POUR CHAQUE 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</si>
</sst>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.00\ _€_-;\-* #,##0.00\ _€_-;_-* \-??\ _€_-;_-@_-"/>
  </numFmts>
  <fonts count="7" x14ac:knownFonts="1">
    <font>
      <sz val="11"/>
      <color theme="1"/>
      <name val="Calibri"/>
      <family val="2"/>
      <charset val="1"/>
    </font>
    <font>
      <vertAlign val="subscript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20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rgb="FFE7E6E6"/>
      </patternFill>
    </fill>
    <fill>
      <patternFill patternType="solid">
        <fgColor rgb="FF92D05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theme="2"/>
        <bgColor rgb="FFD9D9D9"/>
      </patternFill>
    </fill>
    <fill>
      <patternFill patternType="solid">
        <fgColor rgb="FF00B0F0"/>
        <bgColor rgb="FF33CCCC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5" fillId="0" borderId="0" applyBorder="0" applyProtection="0"/>
  </cellStyleXfs>
  <cellXfs count="21">
    <xf numFmtId="0" fontId="0" fillId="0" borderId="0" xfId="0"/>
    <xf numFmtId="0" fontId="0" fillId="7" borderId="0" xfId="0" applyFill="1" applyBorder="1" applyAlignment="1" applyProtection="1">
      <alignment horizontal="center"/>
    </xf>
    <xf numFmtId="0" fontId="0" fillId="5" borderId="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0" fillId="3" borderId="0" xfId="0" applyFill="1" applyAlignment="1" applyProtection="1"/>
    <xf numFmtId="0" fontId="2" fillId="0" borderId="0" xfId="0" applyFont="1" applyAlignment="1" applyProtection="1"/>
    <xf numFmtId="2" fontId="0" fillId="0" borderId="0" xfId="0" applyNumberFormat="1" applyAlignment="1" applyProtection="1"/>
    <xf numFmtId="0" fontId="0" fillId="4" borderId="0" xfId="0" applyFont="1" applyFill="1" applyAlignment="1" applyProtection="1"/>
    <xf numFmtId="0" fontId="0" fillId="0" borderId="0" xfId="0" applyFont="1" applyAlignment="1" applyProtection="1"/>
    <xf numFmtId="2" fontId="0" fillId="2" borderId="0" xfId="0" applyNumberFormat="1" applyFill="1" applyAlignment="1" applyProtection="1"/>
    <xf numFmtId="0" fontId="0" fillId="0" borderId="0" xfId="0" applyAlignment="1" applyProtection="1">
      <alignment horizontal="left"/>
    </xf>
    <xf numFmtId="0" fontId="0" fillId="6" borderId="0" xfId="0" applyFill="1" applyAlignment="1" applyProtection="1"/>
    <xf numFmtId="164" fontId="0" fillId="2" borderId="0" xfId="1" applyFont="1" applyFill="1" applyBorder="1" applyAlignment="1" applyProtection="1"/>
    <xf numFmtId="165" fontId="0" fillId="2" borderId="0" xfId="0" applyNumberFormat="1" applyFill="1" applyAlignment="1" applyProtection="1"/>
    <xf numFmtId="165" fontId="0" fillId="0" borderId="0" xfId="0" applyNumberFormat="1" applyAlignment="1" applyProtection="1"/>
    <xf numFmtId="2" fontId="0" fillId="2" borderId="0" xfId="0" applyNumberFormat="1" applyFill="1" applyAlignment="1" applyProtection="1">
      <alignment horizontal="center"/>
    </xf>
    <xf numFmtId="2" fontId="0" fillId="0" borderId="0" xfId="0" applyNumberFormat="1" applyAlignment="1" applyProtection="1">
      <alignment horizontal="center"/>
    </xf>
    <xf numFmtId="0" fontId="6" fillId="8" borderId="0" xfId="0" applyFont="1" applyFill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315360</xdr:colOff>
      <xdr:row>10</xdr:row>
      <xdr:rowOff>47160</xdr:rowOff>
    </xdr:from>
    <xdr:to>
      <xdr:col>9</xdr:col>
      <xdr:colOff>780480</xdr:colOff>
      <xdr:row>21</xdr:row>
      <xdr:rowOff>52560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750360" y="1836720"/>
          <a:ext cx="3690720" cy="1975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371880</xdr:colOff>
      <xdr:row>22</xdr:row>
      <xdr:rowOff>35640</xdr:rowOff>
    </xdr:from>
    <xdr:to>
      <xdr:col>8</xdr:col>
      <xdr:colOff>357840</xdr:colOff>
      <xdr:row>30</xdr:row>
      <xdr:rowOff>136080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6613280" y="3976560"/>
          <a:ext cx="1598760" cy="1548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zoomScale="85" zoomScaleNormal="85" workbookViewId="0">
      <selection activeCell="B7" sqref="B7"/>
    </sheetView>
  </sheetViews>
  <sheetFormatPr baseColWidth="10" defaultColWidth="11.44140625" defaultRowHeight="14.4" x14ac:dyDescent="0.3"/>
  <cols>
    <col min="1" max="1" width="50.33203125" style="4" customWidth="1"/>
    <col min="2" max="2" width="37.21875" style="4" customWidth="1"/>
    <col min="3" max="3" width="50.33203125" style="4" customWidth="1"/>
    <col min="4" max="4" width="46.44140625" style="4" customWidth="1"/>
    <col min="5" max="5" width="34.6640625" style="5" customWidth="1"/>
  </cols>
  <sheetData>
    <row r="1" spans="1:5" x14ac:dyDescent="0.3">
      <c r="A1" s="19" t="s">
        <v>61</v>
      </c>
      <c r="B1" s="19"/>
      <c r="C1" s="19"/>
      <c r="D1" s="19"/>
      <c r="E1" s="19"/>
    </row>
    <row r="2" spans="1:5" x14ac:dyDescent="0.3">
      <c r="A2" s="20"/>
      <c r="B2" s="20"/>
      <c r="C2" s="20"/>
      <c r="D2" s="20"/>
      <c r="E2" s="20"/>
    </row>
    <row r="3" spans="1:5" x14ac:dyDescent="0.3">
      <c r="A3" s="3" t="s">
        <v>0</v>
      </c>
      <c r="B3" s="3"/>
      <c r="C3" s="3"/>
      <c r="D3" s="3"/>
      <c r="E3" s="3"/>
    </row>
    <row r="4" spans="1:5" ht="15.6" x14ac:dyDescent="0.35">
      <c r="A4" s="3" t="s">
        <v>1</v>
      </c>
      <c r="B4" s="3"/>
      <c r="C4" s="3"/>
      <c r="D4" s="3"/>
      <c r="E4" s="3"/>
    </row>
    <row r="5" spans="1:5" x14ac:dyDescent="0.3">
      <c r="A5" s="5"/>
      <c r="B5" s="5" t="s">
        <v>2</v>
      </c>
      <c r="C5" s="5"/>
      <c r="D5" s="5" t="s">
        <v>3</v>
      </c>
      <c r="E5" s="5" t="s">
        <v>4</v>
      </c>
    </row>
    <row r="6" spans="1:5" x14ac:dyDescent="0.3">
      <c r="A6" s="4" t="s">
        <v>5</v>
      </c>
      <c r="B6" s="6">
        <v>1</v>
      </c>
      <c r="C6" s="7" t="s">
        <v>6</v>
      </c>
      <c r="D6" s="4">
        <f ca="1">LOOKUP('Protocole pour cylindre de 40mm'!B$6,'Recettes électrolyte'!$C$5:$H$5,'Recettes électrolyte'!C6)</f>
        <v>25</v>
      </c>
      <c r="E6" s="5">
        <f t="shared" ref="E6:E11" ca="1" si="0">B$7*D6/100</f>
        <v>25</v>
      </c>
    </row>
    <row r="7" spans="1:5" x14ac:dyDescent="0.3">
      <c r="A7" s="4" t="s">
        <v>7</v>
      </c>
      <c r="B7" s="4">
        <v>100</v>
      </c>
      <c r="C7" s="7" t="s">
        <v>8</v>
      </c>
      <c r="D7" s="4">
        <f ca="1">LOOKUP('Protocole pour cylindre de 40mm'!B$6,'Recettes électrolyte'!$C$5:$H$5,'Recettes électrolyte'!C7)</f>
        <v>36</v>
      </c>
      <c r="E7" s="5">
        <f t="shared" ca="1" si="0"/>
        <v>36</v>
      </c>
    </row>
    <row r="8" spans="1:5" x14ac:dyDescent="0.3">
      <c r="A8" s="4" t="s">
        <v>9</v>
      </c>
      <c r="B8" s="6">
        <v>35</v>
      </c>
      <c r="C8" s="7" t="s">
        <v>10</v>
      </c>
      <c r="D8" s="4">
        <f ca="1">LOOKUP('Protocole pour cylindre de 40mm'!B$6,'Recettes électrolyte'!$C$5:$H$5,'Recettes électrolyte'!C8)</f>
        <v>1</v>
      </c>
      <c r="E8" s="5">
        <f t="shared" ca="1" si="0"/>
        <v>1</v>
      </c>
    </row>
    <row r="9" spans="1:5" x14ac:dyDescent="0.3">
      <c r="A9" s="4" t="s">
        <v>11</v>
      </c>
      <c r="B9" s="8">
        <f>B7/(PI()*4*B8/10)</f>
        <v>2.2736420441699337</v>
      </c>
      <c r="C9" s="7" t="s">
        <v>12</v>
      </c>
      <c r="D9" s="4">
        <f ca="1">LOOKUP('Protocole pour cylindre de 40mm'!B$6,'Recettes électrolyte'!$C$5:$H$5,'Recettes électrolyte'!C9)</f>
        <v>1</v>
      </c>
      <c r="E9" s="5">
        <f t="shared" ca="1" si="0"/>
        <v>1</v>
      </c>
    </row>
    <row r="10" spans="1:5" x14ac:dyDescent="0.3">
      <c r="A10" s="9" t="s">
        <v>13</v>
      </c>
      <c r="C10" s="7" t="s">
        <v>14</v>
      </c>
      <c r="D10" s="4">
        <f ca="1">LOOKUP('Protocole pour cylindre de 40mm'!B$6,'Recettes électrolyte'!$C$5:$H$5,'Recettes électrolyte'!C10)</f>
        <v>1</v>
      </c>
      <c r="E10" s="5">
        <f t="shared" ca="1" si="0"/>
        <v>1</v>
      </c>
    </row>
    <row r="11" spans="1:5" x14ac:dyDescent="0.3">
      <c r="C11" s="7" t="s">
        <v>15</v>
      </c>
      <c r="D11" s="4">
        <f ca="1">LOOKUP('Protocole pour cylindre de 40mm'!B$6,'Recettes électrolyte'!$C$5:$H$5,'Recettes électrolyte'!C11)</f>
        <v>1</v>
      </c>
      <c r="E11" s="5">
        <f t="shared" ca="1" si="0"/>
        <v>1</v>
      </c>
    </row>
    <row r="12" spans="1:5" x14ac:dyDescent="0.3">
      <c r="A12" s="3" t="s">
        <v>16</v>
      </c>
      <c r="B12" s="3"/>
      <c r="C12" s="3"/>
      <c r="D12" s="3"/>
      <c r="E12" s="3"/>
    </row>
    <row r="13" spans="1:5" x14ac:dyDescent="0.3">
      <c r="C13" s="7" t="s">
        <v>17</v>
      </c>
      <c r="D13" s="4">
        <f ca="1">LOOKUP('Protocole pour cylindre de 40mm'!B$6,'Recettes électrolyte'!$C$5:$H$5,'Recettes électrolyte'!C12)</f>
        <v>35</v>
      </c>
      <c r="E13" s="5">
        <f ca="1">B$7*D13/100</f>
        <v>35</v>
      </c>
    </row>
    <row r="15" spans="1:5" x14ac:dyDescent="0.3">
      <c r="A15" s="3" t="s">
        <v>18</v>
      </c>
      <c r="B15" s="3"/>
      <c r="C15" s="3"/>
      <c r="D15" s="3"/>
      <c r="E15" s="3"/>
    </row>
    <row r="16" spans="1:5" x14ac:dyDescent="0.3">
      <c r="A16" s="5"/>
      <c r="B16" s="5"/>
      <c r="C16" s="5" t="s">
        <v>19</v>
      </c>
      <c r="D16" s="5"/>
    </row>
    <row r="17" spans="1:5" ht="15.6" x14ac:dyDescent="0.35">
      <c r="A17" s="4" t="s">
        <v>20</v>
      </c>
      <c r="B17" s="4" t="s">
        <v>21</v>
      </c>
      <c r="C17" s="4">
        <f>B8</f>
        <v>35</v>
      </c>
      <c r="D17" s="4" t="s">
        <v>22</v>
      </c>
    </row>
    <row r="18" spans="1:5" ht="15.6" x14ac:dyDescent="0.35">
      <c r="B18" s="4" t="s">
        <v>23</v>
      </c>
      <c r="C18" s="4">
        <f>C19-C17</f>
        <v>35</v>
      </c>
    </row>
    <row r="19" spans="1:5" ht="15.6" x14ac:dyDescent="0.35">
      <c r="A19" s="4" t="s">
        <v>24</v>
      </c>
      <c r="B19" s="4" t="s">
        <v>25</v>
      </c>
      <c r="C19" s="6">
        <v>70</v>
      </c>
      <c r="D19" s="4" t="s">
        <v>26</v>
      </c>
    </row>
    <row r="20" spans="1:5" ht="15.6" x14ac:dyDescent="0.35">
      <c r="A20" s="10" t="s">
        <v>27</v>
      </c>
      <c r="B20" s="8">
        <f>C18/C17</f>
        <v>1</v>
      </c>
    </row>
    <row r="21" spans="1:5" x14ac:dyDescent="0.3">
      <c r="A21" s="4" t="s">
        <v>28</v>
      </c>
      <c r="B21" s="4">
        <f>B20/(B20+1)*100</f>
        <v>50</v>
      </c>
    </row>
    <row r="22" spans="1:5" x14ac:dyDescent="0.3">
      <c r="A22" s="2" t="s">
        <v>29</v>
      </c>
      <c r="B22" s="2"/>
      <c r="C22" s="2"/>
      <c r="D22" s="2"/>
      <c r="E22" s="2"/>
    </row>
    <row r="24" spans="1:5" ht="15.6" x14ac:dyDescent="0.35">
      <c r="A24" s="4" t="s">
        <v>30</v>
      </c>
      <c r="B24" s="6">
        <v>10</v>
      </c>
      <c r="C24" s="9" t="s">
        <v>31</v>
      </c>
    </row>
    <row r="25" spans="1:5" ht="15.6" x14ac:dyDescent="0.35">
      <c r="A25" s="4" t="s">
        <v>32</v>
      </c>
      <c r="B25" s="8">
        <f>(B24/100)/(1-B24/100)</f>
        <v>0.11111111111111112</v>
      </c>
    </row>
    <row r="26" spans="1:5" x14ac:dyDescent="0.3">
      <c r="A26" s="4" t="s">
        <v>33</v>
      </c>
      <c r="B26" s="11">
        <f>(1-B25/B20)*100</f>
        <v>88.888888888888886</v>
      </c>
    </row>
    <row r="27" spans="1:5" x14ac:dyDescent="0.3">
      <c r="A27" s="4" t="s">
        <v>34</v>
      </c>
      <c r="B27" s="11">
        <f>B25*1/(B25*1+B9)*100</f>
        <v>4.6592290218824175</v>
      </c>
      <c r="D27" s="4" t="s">
        <v>35</v>
      </c>
    </row>
    <row r="29" spans="1:5" x14ac:dyDescent="0.3">
      <c r="A29" s="3" t="s">
        <v>36</v>
      </c>
      <c r="B29" s="3"/>
      <c r="C29" s="3"/>
      <c r="D29" s="3"/>
      <c r="E29" s="3"/>
    </row>
    <row r="30" spans="1:5" x14ac:dyDescent="0.3">
      <c r="A30" s="4" t="s">
        <v>37</v>
      </c>
      <c r="B30" s="6">
        <v>2</v>
      </c>
      <c r="C30" s="4" t="s">
        <v>38</v>
      </c>
      <c r="D30" s="12">
        <v>20.399999999999999</v>
      </c>
    </row>
    <row r="31" spans="1:5" x14ac:dyDescent="0.3">
      <c r="A31" s="4" t="s">
        <v>39</v>
      </c>
      <c r="B31" s="6">
        <v>0</v>
      </c>
      <c r="C31" s="4" t="s">
        <v>40</v>
      </c>
      <c r="D31" s="12">
        <v>125.6</v>
      </c>
    </row>
    <row r="32" spans="1:5" x14ac:dyDescent="0.3">
      <c r="A32" s="4" t="s">
        <v>41</v>
      </c>
      <c r="B32" s="6">
        <v>0</v>
      </c>
      <c r="C32" s="4" t="s">
        <v>42</v>
      </c>
      <c r="D32" s="12">
        <v>69.11</v>
      </c>
    </row>
    <row r="33" spans="1:4" ht="16.2" x14ac:dyDescent="0.3">
      <c r="A33" s="4" t="s">
        <v>43</v>
      </c>
      <c r="B33" s="4">
        <f>B30*D30+B31*D31+B32*D32</f>
        <v>40.799999999999997</v>
      </c>
    </row>
    <row r="34" spans="1:4" x14ac:dyDescent="0.3">
      <c r="A34" s="4" t="s">
        <v>44</v>
      </c>
      <c r="B34" s="8">
        <f>B33*(1-B24/100)</f>
        <v>36.72</v>
      </c>
    </row>
    <row r="35" spans="1:4" x14ac:dyDescent="0.3">
      <c r="A35" s="4" t="s">
        <v>45</v>
      </c>
      <c r="B35" s="13">
        <v>15</v>
      </c>
    </row>
    <row r="36" spans="1:4" x14ac:dyDescent="0.3">
      <c r="C36" s="4" t="s">
        <v>46</v>
      </c>
    </row>
    <row r="37" spans="1:4" x14ac:dyDescent="0.3">
      <c r="A37" s="4" t="s">
        <v>47</v>
      </c>
      <c r="B37" s="11">
        <f>B34*B9/(1-B35/100)</f>
        <v>98.221336308141133</v>
      </c>
    </row>
    <row r="38" spans="1:4" x14ac:dyDescent="0.3">
      <c r="A38" s="4" t="s">
        <v>48</v>
      </c>
      <c r="B38" s="14">
        <f>B34*B9</f>
        <v>83.488135861919957</v>
      </c>
    </row>
    <row r="39" spans="1:4" x14ac:dyDescent="0.3">
      <c r="A39" s="4" t="s">
        <v>49</v>
      </c>
      <c r="B39" s="15">
        <f>B38*((B32*D32)/B33)</f>
        <v>0</v>
      </c>
      <c r="C39" s="4" t="s">
        <v>50</v>
      </c>
      <c r="D39" s="16" t="e">
        <f>B39/B32</f>
        <v>#DIV/0!</v>
      </c>
    </row>
    <row r="40" spans="1:4" x14ac:dyDescent="0.3">
      <c r="A40" s="4" t="s">
        <v>51</v>
      </c>
      <c r="B40" s="15">
        <f>B38*((B31*D31/B33))</f>
        <v>0</v>
      </c>
      <c r="C40" s="4" t="s">
        <v>52</v>
      </c>
      <c r="D40" s="16" t="e">
        <f>B40/B31</f>
        <v>#DIV/0!</v>
      </c>
    </row>
    <row r="41" spans="1:4" x14ac:dyDescent="0.3">
      <c r="A41" s="4" t="s">
        <v>53</v>
      </c>
      <c r="B41" s="15">
        <f>(B38*(B30*D30)/B33)</f>
        <v>83.488135861919957</v>
      </c>
      <c r="C41" s="4" t="s">
        <v>54</v>
      </c>
      <c r="D41" s="16">
        <f>B41/B30</f>
        <v>41.744067930959979</v>
      </c>
    </row>
    <row r="42" spans="1:4" x14ac:dyDescent="0.3">
      <c r="B42" s="15">
        <f>SUM(B39:B41)</f>
        <v>83.488135861919957</v>
      </c>
    </row>
    <row r="44" spans="1:4" x14ac:dyDescent="0.3">
      <c r="B44" s="5"/>
      <c r="C44" s="5" t="s">
        <v>55</v>
      </c>
    </row>
    <row r="45" spans="1:4" x14ac:dyDescent="0.3">
      <c r="B45" s="7" t="s">
        <v>6</v>
      </c>
      <c r="C45" s="17">
        <f t="shared" ref="C45:C50" ca="1" si="1">B$37*D6/100</f>
        <v>24.555334077035283</v>
      </c>
    </row>
    <row r="46" spans="1:4" x14ac:dyDescent="0.3">
      <c r="B46" s="7" t="s">
        <v>8</v>
      </c>
      <c r="C46" s="17">
        <f t="shared" ca="1" si="1"/>
        <v>35.359681070930812</v>
      </c>
    </row>
    <row r="47" spans="1:4" x14ac:dyDescent="0.3">
      <c r="B47" s="7" t="s">
        <v>10</v>
      </c>
      <c r="C47" s="17">
        <f t="shared" ca="1" si="1"/>
        <v>0.98221336308141138</v>
      </c>
    </row>
    <row r="48" spans="1:4" x14ac:dyDescent="0.3">
      <c r="B48" s="7" t="s">
        <v>12</v>
      </c>
      <c r="C48" s="17">
        <f t="shared" ca="1" si="1"/>
        <v>0.98221336308141138</v>
      </c>
    </row>
    <row r="49" spans="2:3" x14ac:dyDescent="0.3">
      <c r="B49" s="7" t="s">
        <v>14</v>
      </c>
      <c r="C49" s="17">
        <f t="shared" ca="1" si="1"/>
        <v>0.98221336308141138</v>
      </c>
    </row>
    <row r="50" spans="2:3" x14ac:dyDescent="0.3">
      <c r="B50" s="7" t="s">
        <v>15</v>
      </c>
      <c r="C50" s="17">
        <f t="shared" ca="1" si="1"/>
        <v>0.98221336308141138</v>
      </c>
    </row>
    <row r="51" spans="2:3" x14ac:dyDescent="0.3">
      <c r="C51" s="18"/>
    </row>
    <row r="52" spans="2:3" x14ac:dyDescent="0.3">
      <c r="B52" s="7" t="s">
        <v>17</v>
      </c>
      <c r="C52" s="18">
        <f ca="1">B$37*D13/100</f>
        <v>34.377467707849398</v>
      </c>
    </row>
    <row r="54" spans="2:3" x14ac:dyDescent="0.3">
      <c r="C54" s="8">
        <f ca="1">SUM(C45:C52)</f>
        <v>98.221336308141147</v>
      </c>
    </row>
  </sheetData>
  <mergeCells count="7">
    <mergeCell ref="A29:E29"/>
    <mergeCell ref="A1:E2"/>
    <mergeCell ref="A3:E3"/>
    <mergeCell ref="A4:E4"/>
    <mergeCell ref="A12:E12"/>
    <mergeCell ref="A15:E15"/>
    <mergeCell ref="A22:E22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'Recettes électrolyte'!$C$5:$H$5</xm:f>
          </x14:formula1>
          <x14:formula2>
            <xm:f>0</xm:f>
          </x14:formula2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6"/>
  <sheetViews>
    <sheetView zoomScaleNormal="100" workbookViewId="0">
      <selection activeCell="B4" sqref="B4"/>
    </sheetView>
  </sheetViews>
  <sheetFormatPr baseColWidth="10" defaultColWidth="11.44140625" defaultRowHeight="14.4" x14ac:dyDescent="0.3"/>
  <cols>
    <col min="2" max="2" width="56.88671875" style="4" customWidth="1"/>
  </cols>
  <sheetData>
    <row r="3" spans="2:3" x14ac:dyDescent="0.3">
      <c r="B3" s="5" t="s">
        <v>56</v>
      </c>
      <c r="C3" s="5">
        <v>36.700000000000003</v>
      </c>
    </row>
    <row r="4" spans="2:3" x14ac:dyDescent="0.3">
      <c r="B4" s="4" t="s">
        <v>57</v>
      </c>
      <c r="C4" s="4">
        <v>17.28</v>
      </c>
    </row>
    <row r="5" spans="2:3" x14ac:dyDescent="0.3">
      <c r="B5" s="4" t="s">
        <v>58</v>
      </c>
      <c r="C5" s="4">
        <v>69.11</v>
      </c>
    </row>
    <row r="6" spans="2:3" x14ac:dyDescent="0.3">
      <c r="B6" s="4" t="s">
        <v>59</v>
      </c>
      <c r="C6" s="4">
        <v>66.599999999999994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H13"/>
  <sheetViews>
    <sheetView zoomScaleNormal="100" workbookViewId="0">
      <selection activeCell="C12" sqref="C12"/>
    </sheetView>
  </sheetViews>
  <sheetFormatPr baseColWidth="10" defaultColWidth="11.44140625" defaultRowHeight="14.4" x14ac:dyDescent="0.3"/>
  <cols>
    <col min="3" max="3" width="17" style="4" customWidth="1"/>
  </cols>
  <sheetData>
    <row r="4" spans="2:8" x14ac:dyDescent="0.3">
      <c r="B4" s="1"/>
      <c r="C4" s="1"/>
      <c r="D4" s="1"/>
      <c r="E4" s="1"/>
      <c r="F4" s="1"/>
      <c r="G4" s="1"/>
      <c r="H4" s="1"/>
    </row>
    <row r="5" spans="2:8" x14ac:dyDescent="0.3">
      <c r="B5" s="4" t="s">
        <v>60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</row>
    <row r="6" spans="2:8" x14ac:dyDescent="0.3">
      <c r="B6" s="7" t="s">
        <v>6</v>
      </c>
      <c r="C6" s="4">
        <v>25</v>
      </c>
      <c r="D6" s="4">
        <f t="shared" ref="D6:D11" si="0">C6-1</f>
        <v>24</v>
      </c>
    </row>
    <row r="7" spans="2:8" x14ac:dyDescent="0.3">
      <c r="B7" s="7" t="s">
        <v>8</v>
      </c>
      <c r="C7" s="4">
        <v>36</v>
      </c>
      <c r="D7" s="4">
        <f t="shared" si="0"/>
        <v>35</v>
      </c>
    </row>
    <row r="8" spans="2:8" x14ac:dyDescent="0.3">
      <c r="B8" s="7" t="s">
        <v>10</v>
      </c>
      <c r="C8" s="4">
        <v>1</v>
      </c>
      <c r="D8" s="4">
        <f t="shared" si="0"/>
        <v>0</v>
      </c>
    </row>
    <row r="9" spans="2:8" x14ac:dyDescent="0.3">
      <c r="B9" s="7" t="s">
        <v>12</v>
      </c>
      <c r="C9" s="4">
        <v>1</v>
      </c>
      <c r="D9" s="4">
        <f t="shared" si="0"/>
        <v>0</v>
      </c>
    </row>
    <row r="10" spans="2:8" x14ac:dyDescent="0.3">
      <c r="B10" s="7" t="s">
        <v>14</v>
      </c>
      <c r="C10" s="4">
        <v>1</v>
      </c>
      <c r="D10" s="4">
        <f t="shared" si="0"/>
        <v>0</v>
      </c>
    </row>
    <row r="11" spans="2:8" x14ac:dyDescent="0.3">
      <c r="B11" s="7" t="s">
        <v>15</v>
      </c>
      <c r="C11" s="4">
        <v>1</v>
      </c>
      <c r="D11" s="4">
        <f t="shared" si="0"/>
        <v>0</v>
      </c>
    </row>
    <row r="12" spans="2:8" x14ac:dyDescent="0.3">
      <c r="B12" s="7" t="s">
        <v>17</v>
      </c>
      <c r="C12" s="4">
        <v>35</v>
      </c>
      <c r="D12" s="4">
        <v>41</v>
      </c>
    </row>
    <row r="13" spans="2:8" x14ac:dyDescent="0.3">
      <c r="C13" s="4">
        <f>SUM(C6:C12)</f>
        <v>100</v>
      </c>
      <c r="D13" s="4">
        <f>SUM(D6:D12)</f>
        <v>100</v>
      </c>
    </row>
  </sheetData>
  <mergeCells count="1">
    <mergeCell ref="B4:H4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E02522-77FA-439A-A8A7-7BA0978B77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Protocole pour cylindre de 40mm</vt:lpstr>
      <vt:lpstr>Données</vt:lpstr>
      <vt:lpstr>Recettes électrolyte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loic-hallez</dc:creator>
  <dc:description/>
  <cp:lastModifiedBy>loic hallez</cp:lastModifiedBy>
  <cp:revision>3</cp:revision>
  <dcterms:created xsi:type="dcterms:W3CDTF">2023-05-02T12:54:41Z</dcterms:created>
  <dcterms:modified xsi:type="dcterms:W3CDTF">2026-05-05T13:54:32Z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0x0101002BCD355C0264884584070D4021455ECA</vt:lpwstr>
  </property>
  <property fmtid="{D5CDD505-2E9C-101B-9397-08002B2CF9AE}" pid="3" name="MediaServiceImageTags">
    <vt:lpwstr/>
  </property>
</Properties>
</file>
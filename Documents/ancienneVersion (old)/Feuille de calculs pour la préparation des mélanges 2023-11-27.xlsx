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7932"/>
  <mc:AlternateContent xmlns:mc="http://schemas.openxmlformats.org/markup-compatibility/2006">
    <mc:Choice Requires="x15">
      <x15ac:absPath xmlns:x15ac="http://schemas.microsoft.com/office/spreadsheetml/2010/11/ac" url="C:\Users\djibril\Desktop\Stage_utiman\Documents\"/>
    </mc:Choice>
  </mc:AlternateContent>
  <bookViews>
    <workbookView xWindow="-108" yWindow="-108" windowWidth="23256" windowHeight="12456" tabRatio="500"/>
  </bookViews>
  <sheets>
    <sheet name="Protocole pour cylindre de 40mm" sheetId="1" r:id="rId1"/>
    <sheet name="Données" sheetId="2" r:id="rId2"/>
    <sheet name="Recettes électrolyte" sheetId="3" r:id="rId3"/>
  </sheets>
  <calcPr iterateDelta="0.0001"/>
</workbook>
</file>

<file path=xl/calcChain.xml><?xml version="1.0" encoding="utf-8"?>
<calcChain xmlns="http://schemas.openxmlformats.org/spreadsheetml/2006/main">
  <c i="3" l="1" r="C13"/>
  <c r="D11"/>
  <c r="D10"/>
  <c r="D9"/>
  <c r="D8"/>
  <c r="D7"/>
  <c r="D13"/>
  <c r="D6"/>
  <c i="1" r="B33"/>
  <c r="B34"/>
  <c r="B25"/>
  <c r="C17"/>
  <c r="C18"/>
  <c r="B20"/>
  <c r="D13"/>
  <c r="E13"/>
  <c r="D11"/>
  <c r="E11"/>
  <c r="D10"/>
  <c r="E10"/>
  <c r="D9"/>
  <c r="E9"/>
  <c r="B9"/>
  <c r="B27"/>
  <c r="D8"/>
  <c r="E8"/>
  <c r="D7"/>
  <c r="E7"/>
  <c r="D6"/>
  <c r="E6"/>
  <c l="1" r="B26"/>
  <c r="B21"/>
  <c r="B38"/>
  <c r="B37"/>
  <c l="1" r="C52"/>
  <c r="C50"/>
  <c r="C49"/>
  <c r="C48"/>
  <c r="C47"/>
  <c r="C46"/>
  <c r="C45"/>
  <c r="B40"/>
  <c r="D40"/>
  <c r="B41"/>
  <c r="D41"/>
  <c r="B39"/>
  <c l="1" r="C54"/>
  <c r="B42"/>
  <c r="D39"/>
</calcChain>
</file>

<file path=xl/sharedStrings.xml><?xml version="1.0" encoding="utf-8"?>
<sst xmlns="http://schemas.openxmlformats.org/spreadsheetml/2006/main">
  <si>
    <t>ENREGISTRER CE FICHIER POUR CHAQUE FABRICATION</t>
  </si>
  <si>
    <t>Choix de la formulation de l'électrolyte</t>
  </si>
  <si>
    <r>
      <rPr>
        <rFont val="Calibri"/>
        <charset val="1"/>
        <color theme="1"/>
        <scheme val="none"/>
      </rPr>
      <t>Mélanger les masses de solides suivante pour mesurées le α</t>
    </r>
    <r>
      <rPr>
        <rFont val="Calibri"/>
        <charset val="1"/>
        <color theme="1"/>
        <vertAlign val="subscript"/>
        <scheme val="none"/>
      </rPr>
      <t>libre</t>
    </r>
  </si>
  <si>
    <t>Cylindre diam=40mm</t>
  </si>
  <si>
    <t>%massique dans le mélange</t>
  </si>
  <si>
    <t>masse (g) à introduire dans le mélange</t>
  </si>
  <si>
    <t>Formulation n°</t>
  </si>
  <si>
    <t>Ciment</t>
  </si>
  <si>
    <t>Masse mélange (g)</t>
  </si>
  <si>
    <t>Sable</t>
  </si>
  <si>
    <t>Hauteur du mélange t=0 (mm)</t>
  </si>
  <si>
    <t>Gypse</t>
  </si>
  <si>
    <t>Masse volumique (g/cm3)</t>
  </si>
  <si>
    <t>Aluminium</t>
  </si>
  <si>
    <t>Masse volumique corrigée après séchage</t>
  </si>
  <si>
    <t>Chaux</t>
  </si>
  <si>
    <t>Methylcellulose</t>
  </si>
  <si>
    <t>Bien mélanger puis ajouter l'eau juste quand tout est prêt</t>
  </si>
  <si>
    <t>Eau</t>
  </si>
  <si>
    <r>
      <rPr>
        <rFont val="Calibri"/>
        <charset val="1"/>
        <color theme="1"/>
        <scheme val="none"/>
      </rPr>
      <t>Mesure du coéfficient d'expansion libre</t>
    </r>
    <r>
      <rPr>
        <rFont val="Calibri"/>
        <charset val="1"/>
        <b val="1"/>
        <color rgb="FFFF0000"/>
        <scheme val="none"/>
      </rPr>
      <t xml:space="preserve"> dans un tube de même diamètre que le capteur final</t>
    </r>
  </si>
  <si>
    <t>(mm)</t>
  </si>
  <si>
    <r>
      <rPr>
        <rFont val="Calibri"/>
        <charset val="1"/>
        <color theme="1"/>
        <scheme val="none"/>
      </rPr>
      <t>L</t>
    </r>
    <r>
      <rPr>
        <rFont val="Calibri"/>
        <charset val="1"/>
        <color theme="1"/>
        <vertAlign val="subscript"/>
        <scheme val="none"/>
      </rPr>
      <t>initiale</t>
    </r>
  </si>
  <si>
    <r>
      <rPr>
        <rFont val="Calibri"/>
        <charset val="1"/>
        <color theme="1"/>
        <scheme val="none"/>
      </rPr>
      <t>L</t>
    </r>
    <r>
      <rPr>
        <rFont val="Calibri"/>
        <charset val="1"/>
        <color theme="1"/>
        <vertAlign val="subscript"/>
        <scheme val="none"/>
      </rPr>
      <t xml:space="preserve">0 </t>
    </r>
    <r>
      <rPr>
        <rFont val="Calibri"/>
        <charset val="1"/>
        <color theme="1"/>
        <scheme val="none"/>
      </rPr>
      <t>=</t>
    </r>
  </si>
  <si>
    <t>mesure de la hauteur de mélange avant expansion</t>
  </si>
  <si>
    <r>
      <rPr>
        <rFont val="Calibri"/>
        <charset val="1"/>
        <color theme="1"/>
        <scheme val="none"/>
      </rPr>
      <t>Δ</t>
    </r>
    <r>
      <rPr>
        <rFont val="Calibri"/>
        <charset val="1"/>
        <color theme="1"/>
        <vertAlign val="subscript"/>
        <scheme val="none"/>
      </rPr>
      <t>libre</t>
    </r>
  </si>
  <si>
    <r>
      <rPr>
        <rFont val="Calibri"/>
        <charset val="1"/>
        <color theme="1"/>
        <scheme val="none"/>
      </rPr>
      <t>L</t>
    </r>
    <r>
      <rPr>
        <rFont val="Calibri"/>
        <charset val="1"/>
        <color theme="1"/>
        <vertAlign val="subscript"/>
        <scheme val="none"/>
      </rPr>
      <t>finale</t>
    </r>
  </si>
  <si>
    <r>
      <rPr>
        <rFont val="Calibri"/>
        <charset val="1"/>
        <color theme="1"/>
        <scheme val="none"/>
      </rPr>
      <t>L</t>
    </r>
    <r>
      <rPr>
        <rFont val="Calibri"/>
        <charset val="1"/>
        <color theme="1"/>
        <vertAlign val="subscript"/>
        <scheme val="none"/>
      </rPr>
      <t xml:space="preserve">0 </t>
    </r>
    <r>
      <rPr>
        <rFont val="Calibri"/>
        <charset val="1"/>
        <color theme="1"/>
        <scheme val="none"/>
      </rPr>
      <t>+ Δ</t>
    </r>
    <r>
      <rPr>
        <rFont val="Calibri"/>
        <charset val="1"/>
        <color theme="1"/>
        <vertAlign val="subscript"/>
        <scheme val="none"/>
      </rPr>
      <t>libre</t>
    </r>
    <r>
      <rPr>
        <rFont val="Calibri"/>
        <charset val="1"/>
        <color theme="1"/>
        <scheme val="none"/>
      </rPr>
      <t xml:space="preserve"> =</t>
    </r>
  </si>
  <si>
    <t>mesure de la hauteur de mélange après expansion</t>
  </si>
  <si>
    <r>
      <rPr>
        <rFont val="Calibri"/>
        <charset val="1"/>
        <color theme="1"/>
        <scheme val="none"/>
      </rPr>
      <t>α</t>
    </r>
    <r>
      <rPr>
        <rFont val="Calibri"/>
        <charset val="1"/>
        <color theme="1"/>
        <vertAlign val="subscript"/>
        <scheme val="none"/>
      </rPr>
      <t>libre</t>
    </r>
  </si>
  <si>
    <t>Porosité libre (%v)</t>
  </si>
  <si>
    <t xml:space="preserve">Calcul bridage des échantillons </t>
  </si>
  <si>
    <r>
      <rPr>
        <rFont val="Calibri"/>
        <charset val="1"/>
        <color theme="1"/>
        <scheme val="none"/>
      </rPr>
      <t>Porosité bridé (%</t>
    </r>
    <r>
      <rPr>
        <rFont val="Calibri"/>
        <charset val="1"/>
        <color theme="1"/>
        <vertAlign val="subscript"/>
        <scheme val="none"/>
      </rPr>
      <t>v</t>
    </r>
    <r>
      <rPr>
        <rFont val="Calibri"/>
        <charset val="1"/>
        <color theme="1"/>
        <scheme val="none"/>
      </rPr>
      <t>)</t>
    </r>
  </si>
  <si>
    <t>SECURITE PMAX</t>
  </si>
  <si>
    <r>
      <rPr>
        <rFont val="Calibri"/>
        <charset val="1"/>
        <color theme="1"/>
        <scheme val="none"/>
      </rPr>
      <t>α</t>
    </r>
    <r>
      <rPr>
        <rFont val="Calibri"/>
        <charset val="1"/>
        <color theme="1"/>
        <vertAlign val="subscript"/>
        <scheme val="none"/>
      </rPr>
      <t>bridé</t>
    </r>
  </si>
  <si>
    <t>Birdage d'expansion β (%)</t>
  </si>
  <si>
    <t>Hydratation maxi (%)</t>
  </si>
  <si>
    <t>masse d'eau / masse totale</t>
  </si>
  <si>
    <t>Fabrication des échantillons bridés</t>
  </si>
  <si>
    <t>Nb de Cylindres de 20m</t>
  </si>
  <si>
    <t>Volume de cylindres de 20mm L=65mm (cm3)</t>
  </si>
  <si>
    <t>Nb de Cylindres de 40mm</t>
  </si>
  <si>
    <t>Volume de cylindres diam=40mm L=100mm (cm3)</t>
  </si>
  <si>
    <t>Nb demi-capteurs de 40mm</t>
  </si>
  <si>
    <t>Volume demi-capteurs diam=40mm L=55mm(cm3)</t>
  </si>
  <si>
    <r>
      <rPr>
        <rFont val="Calibri"/>
        <charset val="1"/>
        <color theme="1"/>
        <scheme val="none"/>
      </rPr>
      <t>Volume total d'électrolyte expansé (cm</t>
    </r>
    <r>
      <rPr>
        <rFont val="Calibri"/>
        <charset val="1"/>
        <color theme="1"/>
        <vertAlign val="superscript"/>
        <scheme val="none"/>
      </rPr>
      <t>3</t>
    </r>
    <r>
      <rPr>
        <rFont val="Calibri"/>
        <charset val="1"/>
        <color theme="1"/>
        <scheme val="none"/>
      </rPr>
      <t>)</t>
    </r>
  </si>
  <si>
    <t>Volume total d'électrolyte avant expansion (cm3)</t>
  </si>
  <si>
    <t>Coéfficient de sécurité (%)</t>
  </si>
  <si>
    <t xml:space="preserve"> </t>
  </si>
  <si>
    <t>Masse de mélange à préparer (g)</t>
  </si>
  <si>
    <t xml:space="preserve">Masse de mélange à preparer sans coeff de sécurité </t>
  </si>
  <si>
    <t>Masse de mélange à mettre dans les demi-capteur (g)</t>
  </si>
  <si>
    <t>Masse de mélange à mettre dans un demi-capteur (g)</t>
  </si>
  <si>
    <t>Masse de mélange à mettre dans les cylindre 40mm (g)</t>
  </si>
  <si>
    <t>Masse de mélange à mettre dans un cylindre 40mm (g)</t>
  </si>
  <si>
    <t>Masse de mélange à mettre dans les cylindre 20mm (g)</t>
  </si>
  <si>
    <t>Masse de mélange à mettre dans un cylindre 20mm (g)</t>
  </si>
  <si>
    <t>masse à introduire dans le mélange</t>
  </si>
  <si>
    <t>Volume de mélange initial pour mesure expansion libre (cm3)</t>
  </si>
  <si>
    <t>Volume de cylindres de 20mm (cm3)</t>
  </si>
  <si>
    <t>Volume de cylindres de 40mm (cm3)</t>
  </si>
  <si>
    <t>Volume demi-capteurs de 40mm (cm3)</t>
  </si>
  <si>
    <t>Formulation</t>
  </si>
</sst>
</file>

<file path=xl/styles.xml><?xml version="1.0" encoding="utf-8"?>
<styleSheet xmlns="http://schemas.openxmlformats.org/spreadsheetml/2006/main">
  <numFmts count="2">
    <numFmt numFmtId="164" formatCode="_-* #,##0.00_-;-* #,##0.00_-;_-* -??_-;_-@_-"/>
    <numFmt numFmtId="165" formatCode="_-* #,##0.00 _€_-;-* #,##0.00 _€_-;_-* -?? _€_-;_-@_-"/>
  </numFmts>
  <fonts count="6">
    <font>
      <sz val="11"/>
      <color theme="1"/>
      <name val="Calibri"/>
      <family val="2"/>
      <charset val="1"/>
    </font>
    <font>
      <sz val="20"/>
      <color theme="1"/>
      <name val="Calibri"/>
      <charset val="1"/>
    </font>
    <font>
      <sz val="11"/>
      <color rgb="FF000000"/>
      <name val="Calibri"/>
      <charset val="1"/>
    </font>
    <font>
      <vertAlign val="subscript"/>
      <sz val="11"/>
      <color theme="1"/>
      <name val="Calibri"/>
      <charset val="1"/>
    </font>
    <font>
      <b/>
      <sz val="11"/>
      <color rgb="FFFF0000"/>
      <name val="Calibri"/>
      <charset val="1"/>
    </font>
    <font>
      <vertAlign val="superscript"/>
      <sz val="11"/>
      <color theme="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rgb="FFE7E6E6"/>
      </patternFill>
    </fill>
    <fill>
      <patternFill patternType="solid">
        <fgColor rgb="FF92D05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theme="2"/>
        <bgColor rgb="FFD9D9D9"/>
      </patternFill>
    </fill>
    <fill>
      <patternFill patternType="solid">
        <fgColor rgb="FF00B0F0"/>
        <bgColor rgb="FF33CCCC"/>
      </patternFill>
    </fill>
    <fill>
      <patternFill patternType="solid">
        <fgColor theme="0" tint="-0.249977111117893"/>
        <bgColor rgb="FFD9D9D9"/>
      </patternFill>
    </fill>
  </fills>
  <borders count="3">
    <border/>
    <border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0" fillId="0" borderId="0"/>
    <xf numFmtId="164" fontId="0" fillId="0" borderId="0" applyBorder="0" applyProtection="0"/>
  </cellStyleXfs>
  <cellXfs count="21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 applyProtection="1">
      <alignment horizontal="center"/>
    </xf>
    <xf numFmtId="0" fontId="0" fillId="4" borderId="0" xfId="0" applyFill="1" applyAlignment="1" applyProtection="1"/>
    <xf numFmtId="0" fontId="2" fillId="0" borderId="0" xfId="0" applyFont="1" applyAlignment="1" applyProtection="1"/>
    <xf numFmtId="2" fontId="0" fillId="0" borderId="0" xfId="0" applyNumberFormat="1" applyAlignment="1" applyProtection="1"/>
    <xf numFmtId="0" fontId="0" fillId="5" borderId="0" xfId="0" applyFont="1" applyFill="1" applyAlignment="1" applyProtection="1"/>
    <xf numFmtId="0" fontId="0" fillId="0" borderId="0" xfId="0" applyFont="1" applyAlignment="1" applyProtection="1"/>
    <xf numFmtId="0" fontId="0" fillId="6" borderId="2" xfId="0" applyFont="1" applyFill="1" applyBorder="1" applyAlignment="1" applyProtection="1">
      <alignment horizontal="center"/>
    </xf>
    <xf numFmtId="2" fontId="0" fillId="3" borderId="0" xfId="0" applyNumberFormat="1" applyFill="1" applyAlignment="1" applyProtection="1"/>
    <xf numFmtId="0" fontId="0" fillId="0" borderId="0" xfId="0" applyAlignment="1" applyProtection="1">
      <alignment horizontal="left"/>
    </xf>
    <xf numFmtId="0" fontId="0" fillId="7" borderId="0" xfId="0" applyFill="1" applyAlignment="1" applyProtection="1"/>
    <xf numFmtId="164" fontId="0" fillId="3" borderId="0" xfId="1" applyFont="1" applyFill="1" applyBorder="1" applyAlignment="1" applyProtection="1"/>
    <xf numFmtId="165" fontId="0" fillId="3" borderId="0" xfId="0" applyNumberFormat="1" applyFill="1" applyAlignment="1" applyProtection="1"/>
    <xf numFmtId="165" fontId="0" fillId="0" borderId="0" xfId="0" applyNumberFormat="1" applyAlignment="1" applyProtection="1"/>
    <xf numFmtId="2" fontId="0" fillId="3" borderId="0" xfId="0" applyNumberFormat="1" applyFill="1" applyAlignment="1" applyProtection="1">
      <alignment horizontal="center"/>
    </xf>
    <xf numFmtId="2" fontId="0" fillId="0" borderId="0" xfId="0" applyNumberFormat="1" applyAlignment="1" applyProtection="1">
      <alignment horizontal="center"/>
    </xf>
    <xf numFmtId="0" fontId="0" fillId="8" borderId="0" xfId="0" applyFill="1" applyBorder="1" applyAlignment="1" applyProtection="1">
      <alignment horizontal="center"/>
    </xf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customXml" Target="../customXml/item1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315595</xdr:colOff>
      <xdr:row>10</xdr:row>
      <xdr:rowOff>46990</xdr:rowOff>
    </xdr:from>
    <xdr:to>
      <xdr:col>9</xdr:col>
      <xdr:colOff>780415</xdr:colOff>
      <xdr:row>21</xdr:row>
      <xdr:rowOff>52705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0361" y="1836720"/>
          <a:ext cx="3690721" cy="1975681"/>
        </a:xfrm>
        <a:prstGeom prst="rect"/>
        <a:noFill/>
        <a:ln w="0">
          <a:noFill/>
        </a:ln>
      </xdr:spPr>
    </xdr:pic>
    <xdr:clientData/>
  </xdr:twoCellAnchor>
  <xdr:twoCellAnchor editAs="oneCell">
    <xdr:from>
      <xdr:col>6</xdr:col>
      <xdr:colOff>372110</xdr:colOff>
      <xdr:row>22</xdr:row>
      <xdr:rowOff>35560</xdr:rowOff>
    </xdr:from>
    <xdr:to>
      <xdr:col>8</xdr:col>
      <xdr:colOff>358140</xdr:colOff>
      <xdr:row>30</xdr:row>
      <xdr:rowOff>135890</xdr:rowOff>
    </xdr:to>
    <xdr:pic>
      <xdr:nvPicPr>
        <xdr:cNvPr id="3" name="Imag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13281" y="3976561"/>
          <a:ext cx="1598760" cy="1548000"/>
        </a:xfrm>
        <a:prstGeom prst="rect"/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85" zoomScaleNormal="85" workbookViewId="0" topLeftCell="A4">
      <selection activeCell="B5" sqref="B5"/>
    </sheetView>
  </sheetViews>
  <sheetFormatPr baseColWidth="10" defaultColWidth="11.45313" defaultRowHeight="14.5"/>
  <cols>
    <col min="1" max="1" width="50.36328" style="1" customWidth="1"/>
    <col min="2" max="2" width="37.17969" style="1" customWidth="1"/>
    <col min="3" max="3" width="50.36328" style="1" customWidth="1"/>
    <col min="4" max="4" width="46.45313" style="1" customWidth="1"/>
    <col min="5" max="5" width="34.63281" style="2" customWidth="1"/>
  </cols>
  <sheetData>
    <row r="1">
      <c r="A1" s="3" t="s">
        <v>0</v>
      </c>
      <c r="B1" s="3"/>
      <c r="C1" s="3"/>
      <c r="D1" s="3"/>
      <c r="E1" s="3"/>
    </row>
    <row r="2">
      <c r="A2" s="4"/>
      <c r="B2" s="4"/>
      <c r="C2" s="4"/>
      <c r="D2" s="4"/>
      <c r="E2" s="4"/>
    </row>
    <row r="3">
      <c r="A3" s="5" t="s">
        <v>1</v>
      </c>
      <c r="B3" s="5"/>
      <c r="C3" s="5"/>
      <c r="D3" s="5"/>
      <c r="E3" s="5"/>
    </row>
    <row r="4" ht="16.5">
      <c r="A4" s="5" t="s">
        <v>2</v>
      </c>
      <c r="B4" s="5"/>
      <c r="C4" s="5"/>
      <c r="D4" s="5"/>
      <c r="E4" s="5"/>
    </row>
    <row r="5">
      <c r="A5" s="2"/>
      <c r="B5" s="2" t="s">
        <v>3</v>
      </c>
      <c r="C5" s="2"/>
      <c r="D5" s="2" t="s">
        <v>4</v>
      </c>
      <c r="E5" s="2" t="s">
        <v>5</v>
      </c>
    </row>
    <row r="6">
      <c r="A6" s="1" t="s">
        <v>6</v>
      </c>
      <c r="B6" s="6">
        <v>1</v>
      </c>
      <c r="C6" s="7" t="s">
        <v>7</v>
      </c>
      <c r="D6" s="1">
        <f>LOOKUP('Protocole pour cylindre de 40mm'!B$6,'Recettes électrolyte'!$C$5:$H$5,'Recettes électrolyte'!C6)</f>
        <v>25</v>
      </c>
      <c r="E6" s="2">
        <f t="shared" ref="E6:E11" si="0">B$7*D6/100</f>
        <v>25</v>
      </c>
    </row>
    <row r="7">
      <c r="A7" s="1" t="s">
        <v>8</v>
      </c>
      <c r="B7" s="1">
        <v>100</v>
      </c>
      <c r="C7" s="7" t="s">
        <v>9</v>
      </c>
      <c r="D7" s="1">
        <f>LOOKUP('Protocole pour cylindre de 40mm'!B$6,'Recettes électrolyte'!$C$5:$H$5,'Recettes électrolyte'!C7)</f>
        <v>36</v>
      </c>
      <c r="E7" s="2">
        <f t="shared" si="0"/>
        <v>36</v>
      </c>
    </row>
    <row r="8">
      <c r="A8" s="1" t="s">
        <v>10</v>
      </c>
      <c r="B8" s="6">
        <v>35</v>
      </c>
      <c r="C8" s="7" t="s">
        <v>11</v>
      </c>
      <c r="D8" s="1">
        <f>LOOKUP('Protocole pour cylindre de 40mm'!B$6,'Recettes électrolyte'!$C$5:$H$5,'Recettes électrolyte'!C8)</f>
        <v>1</v>
      </c>
      <c r="E8" s="2">
        <f t="shared" si="0"/>
        <v>1</v>
      </c>
    </row>
    <row r="9">
      <c r="A9" s="1" t="s">
        <v>12</v>
      </c>
      <c r="B9" s="8">
        <f>B7/(PI()*4*B8/10)</f>
        <v>2.2736420441699337</v>
      </c>
      <c r="C9" s="7" t="s">
        <v>13</v>
      </c>
      <c r="D9" s="1">
        <f>LOOKUP('Protocole pour cylindre de 40mm'!B$6,'Recettes électrolyte'!$C$5:$H$5,'Recettes électrolyte'!C9)</f>
        <v>1</v>
      </c>
      <c r="E9" s="2">
        <f t="shared" si="0"/>
        <v>1</v>
      </c>
    </row>
    <row r="10">
      <c r="A10" s="9" t="s">
        <v>14</v>
      </c>
      <c r="C10" s="7" t="s">
        <v>15</v>
      </c>
      <c r="D10" s="1">
        <f>LOOKUP('Protocole pour cylindre de 40mm'!B$6,'Recettes électrolyte'!$C$5:$H$5,'Recettes électrolyte'!C10)</f>
        <v>1</v>
      </c>
      <c r="E10" s="2">
        <f t="shared" si="0"/>
        <v>1</v>
      </c>
    </row>
    <row r="11">
      <c r="C11" s="7" t="s">
        <v>16</v>
      </c>
      <c r="D11" s="1">
        <f>LOOKUP('Protocole pour cylindre de 40mm'!B$6,'Recettes électrolyte'!$C$5:$H$5,'Recettes électrolyte'!C11)</f>
        <v>1</v>
      </c>
      <c r="E11" s="2">
        <f t="shared" si="0"/>
        <v>1</v>
      </c>
    </row>
    <row r="12">
      <c r="A12" s="5" t="s">
        <v>17</v>
      </c>
      <c r="B12" s="5"/>
      <c r="C12" s="5"/>
      <c r="D12" s="5"/>
      <c r="E12" s="5"/>
    </row>
    <row r="13">
      <c r="C13" s="7" t="s">
        <v>18</v>
      </c>
      <c r="D13" s="1">
        <f>LOOKUP('Protocole pour cylindre de 40mm'!B$6,'Recettes électrolyte'!$C$5:$H$5,'Recettes électrolyte'!C12)</f>
        <v>35</v>
      </c>
      <c r="E13" s="2">
        <f>B$7*D13/100</f>
        <v>35</v>
      </c>
    </row>
    <row r="15">
      <c r="A15" s="5" t="s">
        <v>19</v>
      </c>
      <c r="B15" s="5"/>
      <c r="C15" s="5"/>
      <c r="D15" s="5"/>
      <c r="E15" s="5"/>
    </row>
    <row r="16">
      <c r="A16" s="2"/>
      <c r="B16" s="2"/>
      <c r="C16" s="2" t="s">
        <v>20</v>
      </c>
      <c r="D16" s="2"/>
    </row>
    <row r="17" ht="16.5">
      <c r="A17" s="1" t="s">
        <v>21</v>
      </c>
      <c r="B17" s="1" t="s">
        <v>22</v>
      </c>
      <c r="C17" s="1">
        <f>B8</f>
        <v>35</v>
      </c>
      <c r="D17" s="1" t="s">
        <v>23</v>
      </c>
    </row>
    <row r="18" ht="16.5">
      <c r="B18" s="1" t="s">
        <v>24</v>
      </c>
      <c r="C18" s="1">
        <f>C19-C17</f>
        <v>35</v>
      </c>
    </row>
    <row r="19" ht="16.5">
      <c r="A19" s="1" t="s">
        <v>25</v>
      </c>
      <c r="B19" s="1" t="s">
        <v>26</v>
      </c>
      <c r="C19" s="6">
        <v>70</v>
      </c>
      <c r="D19" s="1" t="s">
        <v>27</v>
      </c>
    </row>
    <row r="20" ht="16.5">
      <c r="A20" s="10" t="s">
        <v>28</v>
      </c>
      <c r="B20" s="8">
        <f>C18/C17</f>
        <v>1</v>
      </c>
    </row>
    <row r="21">
      <c r="A21" s="1" t="s">
        <v>29</v>
      </c>
      <c r="B21" s="1">
        <f>B20/(B20+1)*100</f>
        <v>50</v>
      </c>
    </row>
    <row r="22">
      <c r="A22" s="11" t="s">
        <v>30</v>
      </c>
      <c r="B22" s="11"/>
      <c r="C22" s="11"/>
      <c r="D22" s="11"/>
      <c r="E22" s="11"/>
    </row>
    <row r="24" ht="16.5">
      <c r="A24" s="1" t="s">
        <v>31</v>
      </c>
      <c r="B24" s="6">
        <v>10</v>
      </c>
      <c r="C24" s="9" t="s">
        <v>32</v>
      </c>
    </row>
    <row r="25" ht="16.5">
      <c r="A25" s="1" t="s">
        <v>33</v>
      </c>
      <c r="B25" s="8">
        <f>(B24/100)/(1-B24/100)</f>
        <v>0.11111111111111112</v>
      </c>
    </row>
    <row r="26">
      <c r="A26" s="1" t="s">
        <v>34</v>
      </c>
      <c r="B26" s="12">
        <f>(1-B25/B20)*100</f>
        <v>88.888888888888886</v>
      </c>
    </row>
    <row r="27">
      <c r="A27" s="1" t="s">
        <v>35</v>
      </c>
      <c r="B27" s="12">
        <f>B25*1/(B25*1+B9)*100</f>
        <v>4.6592290218824175</v>
      </c>
      <c r="D27" s="1" t="s">
        <v>36</v>
      </c>
    </row>
    <row r="29">
      <c r="A29" s="5" t="s">
        <v>37</v>
      </c>
      <c r="B29" s="5"/>
      <c r="C29" s="5"/>
      <c r="D29" s="5"/>
      <c r="E29" s="5"/>
    </row>
    <row r="30">
      <c r="A30" s="1" t="s">
        <v>38</v>
      </c>
      <c r="B30" s="6">
        <v>2</v>
      </c>
      <c r="C30" s="1" t="s">
        <v>39</v>
      </c>
      <c r="D30" s="13">
        <v>20.399999999999999</v>
      </c>
    </row>
    <row r="31">
      <c r="A31" s="1" t="s">
        <v>40</v>
      </c>
      <c r="B31" s="6">
        <v>0</v>
      </c>
      <c r="C31" s="1" t="s">
        <v>41</v>
      </c>
      <c r="D31" s="13">
        <v>125.59999999999999</v>
      </c>
    </row>
    <row r="32">
      <c r="A32" s="1" t="s">
        <v>42</v>
      </c>
      <c r="B32" s="6">
        <v>0</v>
      </c>
      <c r="C32" s="1" t="s">
        <v>43</v>
      </c>
      <c r="D32" s="13">
        <v>69.109999999999999</v>
      </c>
    </row>
    <row r="33" ht="16.5">
      <c r="A33" s="1" t="s">
        <v>44</v>
      </c>
      <c r="B33" s="1">
        <f>B30*D30+B31*D31+B32*D32</f>
        <v>40.799999999999997</v>
      </c>
    </row>
    <row r="34">
      <c r="A34" s="1" t="s">
        <v>45</v>
      </c>
      <c r="B34" s="8">
        <f>B33*(1-B24/100)</f>
        <v>36.719999999999999</v>
      </c>
    </row>
    <row r="35">
      <c r="A35" s="1" t="s">
        <v>46</v>
      </c>
      <c r="B35" s="14">
        <v>15</v>
      </c>
    </row>
    <row r="36">
      <c r="C36" s="1" t="s">
        <v>47</v>
      </c>
    </row>
    <row r="37">
      <c r="A37" s="1" t="s">
        <v>48</v>
      </c>
      <c r="B37" s="12">
        <f>B34*B9/(1-B35/100)</f>
        <v>98.221336308141133</v>
      </c>
    </row>
    <row r="38">
      <c r="A38" s="1" t="s">
        <v>49</v>
      </c>
      <c r="B38" s="15">
        <f>B34*B9</f>
        <v>83.488135861919957</v>
      </c>
    </row>
    <row r="39">
      <c r="A39" s="1" t="s">
        <v>50</v>
      </c>
      <c r="B39" s="16">
        <f>B38*((B32*D32)/B33)</f>
        <v>0</v>
      </c>
      <c r="C39" s="1" t="s">
        <v>51</v>
      </c>
      <c r="D39" s="17" t="e">
        <f>B39/B32</f>
        <v>#DIV/0!</v>
      </c>
    </row>
    <row r="40">
      <c r="A40" s="1" t="s">
        <v>52</v>
      </c>
      <c r="B40" s="16">
        <f>B38*((B31*D31/B33))</f>
        <v>0</v>
      </c>
      <c r="C40" s="1" t="s">
        <v>53</v>
      </c>
      <c r="D40" s="17" t="e">
        <f>B40/B31</f>
        <v>#DIV/0!</v>
      </c>
    </row>
    <row r="41">
      <c r="A41" s="1" t="s">
        <v>54</v>
      </c>
      <c r="B41" s="16">
        <f>(B38*(B30*D30)/B33)</f>
        <v>83.488135861919957</v>
      </c>
      <c r="C41" s="1" t="s">
        <v>55</v>
      </c>
      <c r="D41" s="17">
        <f>B41/B30</f>
        <v>41.744067930959979</v>
      </c>
    </row>
    <row r="42">
      <c r="B42" s="16">
        <f>SUM(B39:B41)</f>
        <v>83.488135861919957</v>
      </c>
    </row>
    <row r="44">
      <c r="B44" s="2"/>
      <c r="C44" s="2" t="s">
        <v>56</v>
      </c>
    </row>
    <row r="45">
      <c r="B45" s="7" t="s">
        <v>7</v>
      </c>
      <c r="C45" s="18">
        <f t="shared" ref="C45:C50" si="1">B$37*D6/100</f>
        <v>24.555334077035283</v>
      </c>
    </row>
    <row r="46">
      <c r="B46" s="7" t="s">
        <v>9</v>
      </c>
      <c r="C46" s="18">
        <f t="shared" si="1"/>
        <v>35.359681070930812</v>
      </c>
    </row>
    <row r="47">
      <c r="B47" s="7" t="s">
        <v>11</v>
      </c>
      <c r="C47" s="18">
        <f t="shared" si="1"/>
        <v>0.98221336308141138</v>
      </c>
    </row>
    <row r="48">
      <c r="B48" s="7" t="s">
        <v>13</v>
      </c>
      <c r="C48" s="18">
        <f t="shared" si="1"/>
        <v>0.98221336308141138</v>
      </c>
    </row>
    <row r="49">
      <c r="B49" s="7" t="s">
        <v>15</v>
      </c>
      <c r="C49" s="18">
        <f t="shared" si="1"/>
        <v>0.98221336308141138</v>
      </c>
    </row>
    <row r="50">
      <c r="B50" s="7" t="s">
        <v>16</v>
      </c>
      <c r="C50" s="18">
        <f t="shared" si="1"/>
        <v>0.98221336308141138</v>
      </c>
    </row>
    <row r="51">
      <c r="C51" s="19"/>
    </row>
    <row r="52">
      <c r="B52" s="7" t="s">
        <v>18</v>
      </c>
      <c r="C52" s="19">
        <f>B$37*D13/100</f>
        <v>34.377467707849398</v>
      </c>
    </row>
    <row r="54">
      <c r="C54" s="8">
        <f>SUM(C45:C52)</f>
        <v>98.221336308141147</v>
      </c>
    </row>
  </sheetData>
  <mergeCells count="7">
    <mergeCell ref="A29:E29"/>
    <mergeCell ref="A1:E2"/>
    <mergeCell ref="A3:E3"/>
    <mergeCell ref="A4:E4"/>
    <mergeCell ref="A12:E12"/>
    <mergeCell ref="A15:E15"/>
    <mergeCell ref="A22:E22"/>
  </mergeCells>
  <pageMargins left="0.7" right="0.7" top="0.75" bottom="0.75" header="0.5118055" footer="0.5118055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'Recettes électrolyte'!$C$5:$H$5</xm:f>
          </x14:formula1>
          <xm:sqref>B6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zoomScaleNormal="100" workbookViewId="0">
      <selection activeCell="B4" sqref="B4"/>
    </sheetView>
  </sheetViews>
  <sheetFormatPr baseColWidth="10" defaultColWidth="11.45313" defaultRowHeight="14.5"/>
  <cols>
    <col min="2" max="2" width="56.90625" style="1" customWidth="1"/>
  </cols>
  <sheetData>
    <row r="3" ht="14.4">
      <c r="B3" s="2" t="s">
        <v>57</v>
      </c>
      <c r="C3" s="2">
        <v>36.700000000000003</v>
      </c>
    </row>
    <row r="4" ht="14.4">
      <c r="B4" s="1" t="s">
        <v>58</v>
      </c>
      <c r="C4" s="1">
        <v>17.280000000000001</v>
      </c>
    </row>
    <row r="5" ht="14.4">
      <c r="B5" s="1" t="s">
        <v>59</v>
      </c>
      <c r="C5" s="1">
        <v>69.109999999999999</v>
      </c>
    </row>
    <row r="6" ht="14.4">
      <c r="B6" s="1" t="s">
        <v>60</v>
      </c>
      <c r="C6" s="1">
        <v>66.599999999999994</v>
      </c>
    </row>
  </sheetData>
  <pageMargins left="0.7" right="0.7" top="0.75" bottom="0.75" header="0.5118055" footer="0.5118055"/>
  <pageSetup paperSize="9"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zoomScaleNormal="100" workbookViewId="0">
      <selection activeCell="C12" sqref="C12"/>
    </sheetView>
  </sheetViews>
  <sheetFormatPr baseColWidth="10" defaultColWidth="11.45313" defaultRowHeight="14.5"/>
  <cols>
    <col min="3" max="3" width="17" style="1" customWidth="1"/>
  </cols>
  <sheetData>
    <row r="4" ht="14.4">
      <c r="B4" s="20"/>
      <c r="C4" s="20"/>
      <c r="D4" s="20"/>
      <c r="E4" s="20"/>
      <c r="F4" s="20"/>
      <c r="G4" s="20"/>
      <c r="H4" s="20"/>
    </row>
    <row r="5" ht="14.4">
      <c r="B5" s="1" t="s">
        <v>61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</row>
    <row r="6" ht="14.4">
      <c r="B6" s="7" t="s">
        <v>7</v>
      </c>
      <c r="C6" s="1">
        <v>25</v>
      </c>
      <c r="D6" s="1">
        <f t="shared" ref="D6:D11" si="0">C6-1</f>
        <v>24</v>
      </c>
    </row>
    <row r="7" ht="14.4">
      <c r="B7" s="7" t="s">
        <v>9</v>
      </c>
      <c r="C7" s="1">
        <v>36</v>
      </c>
      <c r="D7" s="1">
        <f t="shared" si="0"/>
        <v>35</v>
      </c>
    </row>
    <row r="8" ht="14.4">
      <c r="B8" s="7" t="s">
        <v>11</v>
      </c>
      <c r="C8" s="1">
        <v>1</v>
      </c>
      <c r="D8" s="1">
        <f t="shared" si="0"/>
        <v>0</v>
      </c>
    </row>
    <row r="9" ht="14.4">
      <c r="B9" s="7" t="s">
        <v>13</v>
      </c>
      <c r="C9" s="1">
        <v>1</v>
      </c>
      <c r="D9" s="1">
        <f t="shared" si="0"/>
        <v>0</v>
      </c>
    </row>
    <row r="10" ht="14.4">
      <c r="B10" s="7" t="s">
        <v>15</v>
      </c>
      <c r="C10" s="1">
        <v>1</v>
      </c>
      <c r="D10" s="1">
        <f t="shared" si="0"/>
        <v>0</v>
      </c>
    </row>
    <row r="11" ht="14.4">
      <c r="B11" s="7" t="s">
        <v>16</v>
      </c>
      <c r="C11" s="1">
        <v>1</v>
      </c>
      <c r="D11" s="1">
        <f t="shared" si="0"/>
        <v>0</v>
      </c>
    </row>
    <row r="12" ht="14.4">
      <c r="B12" s="7" t="s">
        <v>18</v>
      </c>
      <c r="C12" s="1">
        <v>35</v>
      </c>
      <c r="D12" s="1">
        <v>41</v>
      </c>
    </row>
    <row r="13" ht="14.4">
      <c r="C13" s="1">
        <f>SUM(C6:C12)</f>
        <v>100</v>
      </c>
      <c r="D13" s="1">
        <f>SUM(D6:D12)</f>
        <v>100</v>
      </c>
    </row>
  </sheetData>
  <mergeCells count="1">
    <mergeCell ref="B4:H4"/>
  </mergeCells>
  <pageMargins left="0.7" right="0.7" top="0.75" bottom="0.75" header="0.5118055" footer="0.5118055"/>
  <pageSetup paperSize="9" orientation="portrait" horizontalDpi="300" verticalDpi="300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E02522-77FA-439A-A8A7-7BA0978B773A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loic-hallez</dc:creator>
  <cp:lastModifiedBy>Djibril Ba</cp:lastModifiedBy>
  <cp:revision>3</cp:revision>
  <dcterms:created xsi:type="dcterms:W3CDTF">2023-05-02T12:54:41Z</dcterms:created>
  <dcterms:modified xsi:type="dcterms:W3CDTF">2026-05-21T10:57:49Z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0x0101002BCD355C0264884584070D4021455ECA</vt:lpwstr>
  </property>
</Properties>
</file>
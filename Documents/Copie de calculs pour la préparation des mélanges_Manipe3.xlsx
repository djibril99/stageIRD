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allez\Documents\Général\Recherche\Projets\WaouWaqatali\Fabrication capteur\"/>
    </mc:Choice>
  </mc:AlternateContent>
  <xr:revisionPtr revIDLastSave="0" documentId="8_{7350ACD3-C61D-4E1D-9049-F2D0461E9CBC}" xr6:coauthVersionLast="47" xr6:coauthVersionMax="47" xr10:uidLastSave="{00000000-0000-0000-0000-000000000000}"/>
  <bookViews>
    <workbookView xWindow="-108" yWindow="-108" windowWidth="23256" windowHeight="12456" xr2:uid="{C3C6658C-219C-4DAD-83CD-5F85284AD4A6}"/>
  </bookViews>
  <sheets>
    <sheet name="Protocole" sheetId="1" r:id="rId1"/>
    <sheet name="Données" sheetId="3" r:id="rId2"/>
    <sheet name="Recettes électrolyt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0" i="1"/>
  <c r="B19" i="1"/>
  <c r="B32" i="1"/>
  <c r="B33" i="1"/>
  <c r="B8" i="1"/>
  <c r="B36" i="1" s="1"/>
  <c r="C18" i="1"/>
  <c r="B37" i="1" l="1"/>
  <c r="B40" i="1" s="1"/>
  <c r="D40" i="1" s="1"/>
  <c r="C13" i="2"/>
  <c r="D9" i="1"/>
  <c r="E9" i="1" s="1"/>
  <c r="D7" i="2"/>
  <c r="D8" i="2"/>
  <c r="D9" i="2"/>
  <c r="D10" i="2"/>
  <c r="D11" i="2"/>
  <c r="D6" i="2"/>
  <c r="D13" i="2" s="1"/>
  <c r="D6" i="1"/>
  <c r="E6" i="1" s="1"/>
  <c r="D7" i="1"/>
  <c r="E7" i="1" s="1"/>
  <c r="D8" i="1"/>
  <c r="E8" i="1" s="1"/>
  <c r="D10" i="1"/>
  <c r="E10" i="1" s="1"/>
  <c r="D12" i="1"/>
  <c r="E12" i="1" s="1"/>
  <c r="D5" i="1"/>
  <c r="C51" i="1" l="1"/>
  <c r="E5" i="1"/>
  <c r="C44" i="1"/>
  <c r="B39" i="1" l="1"/>
  <c r="D39" i="1" s="1"/>
  <c r="B38" i="1"/>
  <c r="D38" i="1" s="1"/>
  <c r="C45" i="1"/>
  <c r="C46" i="1"/>
  <c r="C47" i="1"/>
  <c r="C48" i="1"/>
  <c r="C49" i="1"/>
  <c r="B41" i="1" l="1"/>
  <c r="C53" i="1"/>
</calcChain>
</file>

<file path=xl/sharedStrings.xml><?xml version="1.0" encoding="utf-8"?>
<sst xmlns="http://schemas.openxmlformats.org/spreadsheetml/2006/main" count="73" uniqueCount="56">
  <si>
    <t>Choix de la formulation de l'électrolyte</t>
  </si>
  <si>
    <t>Mélanger les masses de solides :</t>
  </si>
  <si>
    <t>masse à introduire dans le mélange</t>
  </si>
  <si>
    <t>Formulation n°</t>
  </si>
  <si>
    <t>Ciment</t>
  </si>
  <si>
    <t>Masse mélange (g)</t>
  </si>
  <si>
    <t>Sable</t>
  </si>
  <si>
    <t>Hauteur du mélange t=0 (mm)</t>
  </si>
  <si>
    <t>Gypse</t>
  </si>
  <si>
    <t>Masse volumique (g/cm3)</t>
  </si>
  <si>
    <t>Aluminium</t>
  </si>
  <si>
    <t>Masse volumique corrigée après séchage</t>
  </si>
  <si>
    <t>Chaux</t>
  </si>
  <si>
    <t>Methylcellulose</t>
  </si>
  <si>
    <t>Bien mélanger puis ajouter l'eau juste quand tout est prêt</t>
  </si>
  <si>
    <t>Eau</t>
  </si>
  <si>
    <t>Mesure du coéfficient d'expansion libre</t>
  </si>
  <si>
    <t>(mm)</t>
  </si>
  <si>
    <r>
      <t>L</t>
    </r>
    <r>
      <rPr>
        <vertAlign val="subscript"/>
        <sz val="11"/>
        <color theme="1"/>
        <rFont val="Calibri"/>
        <family val="2"/>
        <scheme val="minor"/>
      </rPr>
      <t>initiale</t>
    </r>
  </si>
  <si>
    <r>
      <t>L</t>
    </r>
    <r>
      <rPr>
        <vertAlign val="sub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=</t>
    </r>
  </si>
  <si>
    <t>mesure de la hauteur de mélange avant expansion</t>
  </si>
  <si>
    <r>
      <t>Δ</t>
    </r>
    <r>
      <rPr>
        <vertAlign val="subscript"/>
        <sz val="11"/>
        <color theme="1"/>
        <rFont val="Calibri"/>
        <family val="2"/>
        <scheme val="minor"/>
      </rPr>
      <t>libre</t>
    </r>
  </si>
  <si>
    <t>mesure de la hauteur de mélange après expansion</t>
  </si>
  <si>
    <r>
      <t>L</t>
    </r>
    <r>
      <rPr>
        <vertAlign val="subscript"/>
        <sz val="11"/>
        <color theme="1"/>
        <rFont val="Calibri"/>
        <family val="2"/>
        <scheme val="minor"/>
      </rPr>
      <t>finale</t>
    </r>
  </si>
  <si>
    <r>
      <t>L</t>
    </r>
    <r>
      <rPr>
        <vertAlign val="sub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</rPr>
      <t>Δ</t>
    </r>
    <r>
      <rPr>
        <vertAlign val="subscript"/>
        <sz val="11"/>
        <color theme="1"/>
        <rFont val="Calibri"/>
        <family val="2"/>
      </rPr>
      <t>libre</t>
    </r>
    <r>
      <rPr>
        <sz val="11"/>
        <color theme="1"/>
        <rFont val="Calibri"/>
        <family val="2"/>
      </rPr>
      <t xml:space="preserve"> =</t>
    </r>
  </si>
  <si>
    <r>
      <t>α</t>
    </r>
    <r>
      <rPr>
        <vertAlign val="subscript"/>
        <sz val="11"/>
        <color theme="1"/>
        <rFont val="Calibri"/>
        <family val="2"/>
      </rPr>
      <t>libre</t>
    </r>
  </si>
  <si>
    <t>Porosité libre (%v)</t>
  </si>
  <si>
    <t xml:space="preserve">Calcul bridage des échantillons </t>
  </si>
  <si>
    <r>
      <t>Porosité bridé (%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)</t>
    </r>
  </si>
  <si>
    <t>SECURITE PMAX</t>
  </si>
  <si>
    <t>Porosité visée par Paul</t>
  </si>
  <si>
    <r>
      <t>α</t>
    </r>
    <r>
      <rPr>
        <vertAlign val="subscript"/>
        <sz val="11"/>
        <color theme="1"/>
        <rFont val="Calibri"/>
        <family val="2"/>
        <scheme val="minor"/>
      </rPr>
      <t>bridé</t>
    </r>
  </si>
  <si>
    <r>
      <t xml:space="preserve">Birdage d'expansion 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 xml:space="preserve"> (%)</t>
    </r>
  </si>
  <si>
    <t>Hydratation maxi (%)</t>
  </si>
  <si>
    <t>masse d'eau / masse totale</t>
  </si>
  <si>
    <t>Fabrication des échantillons bridés</t>
  </si>
  <si>
    <t>Nb de Cylindres de 20mm</t>
  </si>
  <si>
    <t>Volume de cylindres de 20mm X 50 (cm3)</t>
  </si>
  <si>
    <t>Nb de Cylindres de 40mm</t>
  </si>
  <si>
    <t>Volume de cylindres de 40mm (cm3)</t>
  </si>
  <si>
    <t>Nb demi-capteurs de 40mm</t>
  </si>
  <si>
    <t>Volume demi-capteurs de 40mm (cm3)</t>
  </si>
  <si>
    <r>
      <t>Volume total d'électrolyte expansé (cm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</si>
  <si>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Volume total d'électrolyte avant expansion (cm3)</t>
  </si>
  <si>
    <t>Coéfficient de sécurité (%)</t>
  </si>
  <si>
    <t>Masse de mélange à préparer (g)</t>
  </si>
  <si>
    <t xml:space="preserve">Masse de mélange à preparer sans coeff de sécurité </t>
  </si>
  <si>
    <t>Masse de mélange à mettre dans les demi-capteur (g)</t>
  </si>
  <si>
    <t>Masse de mélange à mettre dans un demi-capteur (g)</t>
  </si>
  <si>
    <t>Masse de mélange à mettre dans les cylindre 40mm (g)</t>
  </si>
  <si>
    <t>Masse de mélange à mettre dans un cylindre 40mm (g)</t>
  </si>
  <si>
    <t>Masse de mélange à mettre dans les cylindre 20mm (g)</t>
  </si>
  <si>
    <t>Masse de mélange à mettre dans un cylindre 20mm (g)</t>
  </si>
  <si>
    <t>Volume de mélange initial pour mesure expansion libre (cm3)</t>
  </si>
  <si>
    <t>Volume de cylindres de 20mm (cm3)</t>
  </si>
  <si>
    <t>Formulation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</si>
</sst>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0" fillId="4" borderId="0" xfId="0" applyFill="1"/>
    <xf numFmtId="0" fontId="0" fillId="0" borderId="0" xfId="0" applyAlignment="1">
      <alignment horizontal="center"/>
    </xf>
    <xf numFmtId="0" fontId="0" fillId="7" borderId="0" xfId="0" applyFill="1"/>
    <xf numFmtId="2" fontId="0" fillId="0" borderId="0" xfId="0" applyNumberFormat="1"/>
    <xf numFmtId="0" fontId="1" fillId="0" borderId="0" xfId="0" applyFont="1"/>
    <xf numFmtId="0" fontId="0" fillId="6" borderId="0" xfId="0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/>
    <xf numFmtId="164" fontId="0" fillId="0" borderId="0" xfId="0" applyNumberFormat="1"/>
    <xf numFmtId="0" fontId="7" fillId="8" borderId="0" xfId="0" applyFont="1" applyFill="1" applyAlignment="1">
      <alignment horizontal="left"/>
    </xf>
    <xf numFmtId="164" fontId="7" fillId="8" borderId="0" xfId="0" applyNumberFormat="1" applyFont="1" applyFill="1"/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12</xdr:row>
      <xdr:rowOff>74131</xdr:rowOff>
    </xdr:from>
    <xdr:to>
      <xdr:col>8</xdr:col>
      <xdr:colOff>619126</xdr:colOff>
      <xdr:row>21</xdr:row>
      <xdr:rowOff>13066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21F0FF5-5315-457D-6D5B-AFE260E60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2175" y="2360131"/>
          <a:ext cx="2876550" cy="180583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20</xdr:row>
      <xdr:rowOff>186796</xdr:rowOff>
    </xdr:from>
    <xdr:to>
      <xdr:col>7</xdr:col>
      <xdr:colOff>238126</xdr:colOff>
      <xdr:row>30</xdr:row>
      <xdr:rowOff>66904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D900A1F-BC06-640B-97A8-E4959585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0" y="4149196"/>
          <a:ext cx="1685925" cy="1870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A7D4-4634-4849-9A01-39F353C8547C}">
  <dimension ref="A2:J53"/>
  <sheetViews>
    <sheetView tabSelected="1" zoomScale="85" zoomScaleNormal="85" workbookViewId="0">
      <selection activeCell="E6" sqref="E6"/>
    </sheetView>
  </sheetViews>
  <sheetFormatPr baseColWidth="10" defaultColWidth="11.44140625" defaultRowHeight="14.4" x14ac:dyDescent="0.3"/>
  <cols>
    <col min="1" max="1" width="50.33203125" bestFit="1" customWidth="1"/>
    <col min="2" max="2" width="17.6640625" customWidth="1"/>
    <col min="3" max="3" width="50.33203125" bestFit="1" customWidth="1"/>
    <col min="4" max="4" width="46.44140625" bestFit="1" customWidth="1"/>
    <col min="5" max="5" width="32.88671875" style="3" bestFit="1" customWidth="1"/>
  </cols>
  <sheetData>
    <row r="2" spans="1:5" x14ac:dyDescent="0.3">
      <c r="A2" s="15" t="s">
        <v>0</v>
      </c>
      <c r="B2" s="15"/>
      <c r="C2" s="15"/>
      <c r="D2" s="15"/>
      <c r="E2" s="15"/>
    </row>
    <row r="3" spans="1:5" x14ac:dyDescent="0.3">
      <c r="A3" s="15" t="s">
        <v>1</v>
      </c>
      <c r="B3" s="15"/>
      <c r="C3" s="15"/>
      <c r="D3" s="15"/>
      <c r="E3" s="15"/>
    </row>
    <row r="4" spans="1:5" x14ac:dyDescent="0.3">
      <c r="A4" s="3"/>
      <c r="B4" s="3"/>
      <c r="C4" s="3"/>
      <c r="D4" s="3"/>
      <c r="E4" s="3" t="s">
        <v>2</v>
      </c>
    </row>
    <row r="5" spans="1:5" x14ac:dyDescent="0.3">
      <c r="A5" t="s">
        <v>3</v>
      </c>
      <c r="B5" s="2">
        <v>1</v>
      </c>
      <c r="C5" s="1" t="s">
        <v>4</v>
      </c>
      <c r="D5">
        <f ca="1">LOOKUP(Protocole!B$5,'Recettes électrolyte'!$C$5:$H$5,'Recettes électrolyte'!C6)</f>
        <v>25</v>
      </c>
      <c r="E5" s="8">
        <f ca="1">B$6*D5/100</f>
        <v>10</v>
      </c>
    </row>
    <row r="6" spans="1:5" x14ac:dyDescent="0.3">
      <c r="A6" t="s">
        <v>5</v>
      </c>
      <c r="B6" s="2">
        <v>40</v>
      </c>
      <c r="C6" s="1" t="s">
        <v>6</v>
      </c>
      <c r="D6">
        <f ca="1">LOOKUP(Protocole!B$5,'Recettes électrolyte'!$C$5:$H$5,'Recettes électrolyte'!C7)</f>
        <v>36</v>
      </c>
      <c r="E6" s="8">
        <f t="shared" ref="E6:E10" ca="1" si="0">B$6*D6/100</f>
        <v>14.4</v>
      </c>
    </row>
    <row r="7" spans="1:5" x14ac:dyDescent="0.3">
      <c r="A7" t="s">
        <v>7</v>
      </c>
      <c r="B7" s="2">
        <v>35</v>
      </c>
      <c r="C7" s="1" t="s">
        <v>8</v>
      </c>
      <c r="D7">
        <f ca="1">LOOKUP(Protocole!B$5,'Recettes électrolyte'!$C$5:$H$5,'Recettes électrolyte'!C8)</f>
        <v>1</v>
      </c>
      <c r="E7" s="8">
        <f t="shared" ca="1" si="0"/>
        <v>0.4</v>
      </c>
    </row>
    <row r="8" spans="1:5" x14ac:dyDescent="0.3">
      <c r="A8" t="s">
        <v>9</v>
      </c>
      <c r="B8" s="5">
        <f>B6/(PI()*4*B7/10)</f>
        <v>0.90945681766797337</v>
      </c>
      <c r="C8" s="1" t="s">
        <v>10</v>
      </c>
      <c r="D8">
        <f ca="1">LOOKUP(Protocole!B$5,'Recettes électrolyte'!$C$5:$H$5,'Recettes électrolyte'!C9)</f>
        <v>1</v>
      </c>
      <c r="E8" s="8">
        <f t="shared" ca="1" si="0"/>
        <v>0.4</v>
      </c>
    </row>
    <row r="9" spans="1:5" x14ac:dyDescent="0.3">
      <c r="A9" s="7" t="s">
        <v>11</v>
      </c>
      <c r="C9" s="1" t="s">
        <v>12</v>
      </c>
      <c r="D9">
        <f ca="1">LOOKUP(Protocole!B$5,'Recettes électrolyte'!$C$5:$H$5,'Recettes électrolyte'!C10)</f>
        <v>1</v>
      </c>
      <c r="E9" s="8">
        <f t="shared" ca="1" si="0"/>
        <v>0.4</v>
      </c>
    </row>
    <row r="10" spans="1:5" x14ac:dyDescent="0.3">
      <c r="C10" s="1" t="s">
        <v>13</v>
      </c>
      <c r="D10">
        <f ca="1">LOOKUP(Protocole!B$5,'Recettes électrolyte'!$C$5:$H$5,'Recettes électrolyte'!C11)</f>
        <v>1</v>
      </c>
      <c r="E10" s="8">
        <f t="shared" ca="1" si="0"/>
        <v>0.4</v>
      </c>
    </row>
    <row r="11" spans="1:5" x14ac:dyDescent="0.3">
      <c r="A11" s="15" t="s">
        <v>14</v>
      </c>
      <c r="B11" s="15"/>
      <c r="C11" s="15"/>
      <c r="D11" s="15"/>
      <c r="E11" s="15"/>
    </row>
    <row r="12" spans="1:5" x14ac:dyDescent="0.3">
      <c r="C12" s="1" t="s">
        <v>15</v>
      </c>
      <c r="D12">
        <f ca="1">LOOKUP(Protocole!B$5,'Recettes électrolyte'!$C$5:$H$5,'Recettes électrolyte'!C12)</f>
        <v>35</v>
      </c>
      <c r="E12" s="3">
        <f ca="1">B$6*D12/100</f>
        <v>14</v>
      </c>
    </row>
    <row r="14" spans="1:5" x14ac:dyDescent="0.3">
      <c r="A14" s="15" t="s">
        <v>16</v>
      </c>
      <c r="B14" s="15"/>
      <c r="C14" s="15"/>
      <c r="D14" s="15"/>
      <c r="E14" s="15"/>
    </row>
    <row r="15" spans="1:5" x14ac:dyDescent="0.3">
      <c r="A15" s="3"/>
      <c r="B15" s="3"/>
      <c r="C15" s="3" t="s">
        <v>17</v>
      </c>
      <c r="D15" s="3"/>
    </row>
    <row r="16" spans="1:5" ht="15.6" x14ac:dyDescent="0.35">
      <c r="A16" t="s">
        <v>18</v>
      </c>
      <c r="B16" t="s">
        <v>19</v>
      </c>
      <c r="C16">
        <v>45</v>
      </c>
      <c r="D16" t="s">
        <v>20</v>
      </c>
    </row>
    <row r="17" spans="1:10" ht="15.6" x14ac:dyDescent="0.35">
      <c r="B17" t="s">
        <v>21</v>
      </c>
      <c r="C17" s="2">
        <v>70</v>
      </c>
      <c r="D17" t="s">
        <v>22</v>
      </c>
    </row>
    <row r="18" spans="1:10" ht="15.6" x14ac:dyDescent="0.35">
      <c r="A18" t="s">
        <v>23</v>
      </c>
      <c r="B18" t="s">
        <v>24</v>
      </c>
      <c r="C18" s="2">
        <f>C16+C17</f>
        <v>115</v>
      </c>
    </row>
    <row r="19" spans="1:10" ht="15.6" x14ac:dyDescent="0.35">
      <c r="A19" s="6" t="s">
        <v>25</v>
      </c>
      <c r="B19">
        <f>(C18-C16)/C16</f>
        <v>1.5555555555555556</v>
      </c>
    </row>
    <row r="20" spans="1:10" x14ac:dyDescent="0.3">
      <c r="A20" t="s">
        <v>26</v>
      </c>
      <c r="B20">
        <f>B19/(B19+1)*100</f>
        <v>60.869565217391312</v>
      </c>
    </row>
    <row r="21" spans="1:10" x14ac:dyDescent="0.3">
      <c r="A21" s="14" t="s">
        <v>27</v>
      </c>
      <c r="B21" s="14"/>
      <c r="C21" s="14"/>
      <c r="D21" s="14"/>
      <c r="E21" s="14"/>
    </row>
    <row r="23" spans="1:10" ht="15.6" x14ac:dyDescent="0.35">
      <c r="A23" t="s">
        <v>28</v>
      </c>
      <c r="B23" s="2">
        <v>10</v>
      </c>
      <c r="C23" s="7" t="s">
        <v>29</v>
      </c>
      <c r="I23" s="4" t="s">
        <v>30</v>
      </c>
      <c r="J23" s="4"/>
    </row>
    <row r="24" spans="1:10" ht="15.6" x14ac:dyDescent="0.35">
      <c r="A24" t="s">
        <v>31</v>
      </c>
      <c r="B24" s="5">
        <f>(B23/100)/(1-B23/100)</f>
        <v>0.11111111111111112</v>
      </c>
      <c r="I24" s="4">
        <v>10</v>
      </c>
      <c r="J24" s="4">
        <v>15</v>
      </c>
    </row>
    <row r="25" spans="1:10" x14ac:dyDescent="0.3">
      <c r="A25" t="s">
        <v>32</v>
      </c>
      <c r="B25" s="5">
        <f>(1-B24/B19)*100</f>
        <v>92.857142857142861</v>
      </c>
      <c r="I25" s="4">
        <v>20</v>
      </c>
      <c r="J25" s="4">
        <v>30</v>
      </c>
    </row>
    <row r="26" spans="1:10" x14ac:dyDescent="0.3">
      <c r="A26" t="s">
        <v>33</v>
      </c>
      <c r="B26" s="5">
        <f>B24*1/(B24*1+B8)*100</f>
        <v>10.88718428023056</v>
      </c>
      <c r="D26" t="s">
        <v>34</v>
      </c>
      <c r="I26" s="4">
        <v>30</v>
      </c>
      <c r="J26" s="4">
        <v>45</v>
      </c>
    </row>
    <row r="27" spans="1:10" x14ac:dyDescent="0.3">
      <c r="I27" s="4">
        <v>40</v>
      </c>
      <c r="J27" s="4">
        <v>60</v>
      </c>
    </row>
    <row r="28" spans="1:10" x14ac:dyDescent="0.3">
      <c r="A28" s="15" t="s">
        <v>35</v>
      </c>
      <c r="B28" s="15"/>
      <c r="C28" s="15"/>
      <c r="D28" s="15"/>
      <c r="E28" s="15"/>
    </row>
    <row r="29" spans="1:10" x14ac:dyDescent="0.3">
      <c r="A29" t="s">
        <v>36</v>
      </c>
      <c r="B29" s="2">
        <v>8</v>
      </c>
      <c r="C29" t="s">
        <v>37</v>
      </c>
      <c r="D29" s="12">
        <v>15.7</v>
      </c>
      <c r="E29" s="12">
        <v>15.7</v>
      </c>
    </row>
    <row r="30" spans="1:10" x14ac:dyDescent="0.3">
      <c r="A30" t="s">
        <v>38</v>
      </c>
      <c r="B30" s="2">
        <v>0</v>
      </c>
      <c r="C30" t="s">
        <v>39</v>
      </c>
      <c r="D30" s="9">
        <v>69.11</v>
      </c>
    </row>
    <row r="31" spans="1:10" x14ac:dyDescent="0.3">
      <c r="A31" t="s">
        <v>40</v>
      </c>
      <c r="B31" s="2">
        <v>0</v>
      </c>
      <c r="C31" t="s">
        <v>41</v>
      </c>
      <c r="D31" s="9">
        <v>66.599999999999994</v>
      </c>
    </row>
    <row r="32" spans="1:10" ht="16.2" x14ac:dyDescent="0.3">
      <c r="A32" t="s">
        <v>42</v>
      </c>
      <c r="B32">
        <f>B29*D29+B30*D30+B31*D31</f>
        <v>125.6</v>
      </c>
    </row>
    <row r="33" spans="1:4" x14ac:dyDescent="0.3">
      <c r="A33" t="s">
        <v>43</v>
      </c>
      <c r="B33" s="5">
        <f>B32*(1-B23/100)</f>
        <v>113.03999999999999</v>
      </c>
    </row>
    <row r="34" spans="1:4" x14ac:dyDescent="0.3">
      <c r="A34" t="s">
        <v>44</v>
      </c>
      <c r="B34" s="4">
        <v>15</v>
      </c>
    </row>
    <row r="36" spans="1:4" x14ac:dyDescent="0.3">
      <c r="A36" t="s">
        <v>45</v>
      </c>
      <c r="B36" s="5">
        <f>B33*B8/(1-B34/100)</f>
        <v>120.94705725786788</v>
      </c>
    </row>
    <row r="37" spans="1:4" x14ac:dyDescent="0.3">
      <c r="A37" t="s">
        <v>46</v>
      </c>
      <c r="B37" s="10">
        <f>B33*B8</f>
        <v>102.8049986691877</v>
      </c>
    </row>
    <row r="38" spans="1:4" x14ac:dyDescent="0.3">
      <c r="A38" t="s">
        <v>47</v>
      </c>
      <c r="B38" s="11">
        <f>B37*((B31*D31)/B32)</f>
        <v>0</v>
      </c>
      <c r="C38" t="s">
        <v>48</v>
      </c>
      <c r="D38" s="11" t="e">
        <f>B38/B31</f>
        <v>#DIV/0!</v>
      </c>
    </row>
    <row r="39" spans="1:4" x14ac:dyDescent="0.3">
      <c r="A39" t="s">
        <v>49</v>
      </c>
      <c r="B39" s="11">
        <f>B37*((B30*D30/B32))</f>
        <v>0</v>
      </c>
      <c r="C39" t="s">
        <v>50</v>
      </c>
      <c r="D39" s="11" t="e">
        <f>B39/B30</f>
        <v>#DIV/0!</v>
      </c>
    </row>
    <row r="40" spans="1:4" x14ac:dyDescent="0.3">
      <c r="A40" t="s">
        <v>51</v>
      </c>
      <c r="B40" s="11">
        <f>(B37*(B29*D29)/B32)</f>
        <v>102.8049986691877</v>
      </c>
      <c r="C40" t="s">
        <v>52</v>
      </c>
      <c r="D40" s="13">
        <f>B40/B29</f>
        <v>12.850624833648462</v>
      </c>
    </row>
    <row r="41" spans="1:4" x14ac:dyDescent="0.3">
      <c r="B41" s="11">
        <f>SUM(B38:B40)</f>
        <v>102.8049986691877</v>
      </c>
    </row>
    <row r="43" spans="1:4" x14ac:dyDescent="0.3">
      <c r="B43" s="3"/>
      <c r="C43" s="3" t="s">
        <v>2</v>
      </c>
    </row>
    <row r="44" spans="1:4" x14ac:dyDescent="0.3">
      <c r="B44" s="1" t="s">
        <v>4</v>
      </c>
      <c r="C44" s="8">
        <f ca="1">B$36*D5/100</f>
        <v>30.236764314466974</v>
      </c>
    </row>
    <row r="45" spans="1:4" x14ac:dyDescent="0.3">
      <c r="B45" s="1" t="s">
        <v>6</v>
      </c>
      <c r="C45" s="8">
        <f t="shared" ref="C45:C49" ca="1" si="1">B$36*D6/100</f>
        <v>43.540940612832436</v>
      </c>
    </row>
    <row r="46" spans="1:4" x14ac:dyDescent="0.3">
      <c r="B46" s="1" t="s">
        <v>8</v>
      </c>
      <c r="C46" s="8">
        <f t="shared" ca="1" si="1"/>
        <v>1.2094705725786787</v>
      </c>
    </row>
    <row r="47" spans="1:4" x14ac:dyDescent="0.3">
      <c r="B47" s="1" t="s">
        <v>10</v>
      </c>
      <c r="C47" s="8">
        <f t="shared" ca="1" si="1"/>
        <v>1.2094705725786787</v>
      </c>
    </row>
    <row r="48" spans="1:4" x14ac:dyDescent="0.3">
      <c r="B48" s="1" t="s">
        <v>12</v>
      </c>
      <c r="C48" s="8">
        <f t="shared" ca="1" si="1"/>
        <v>1.2094705725786787</v>
      </c>
    </row>
    <row r="49" spans="2:3" x14ac:dyDescent="0.3">
      <c r="B49" s="1" t="s">
        <v>13</v>
      </c>
      <c r="C49" s="8">
        <f t="shared" ca="1" si="1"/>
        <v>1.2094705725786787</v>
      </c>
    </row>
    <row r="50" spans="2:3" x14ac:dyDescent="0.3">
      <c r="C50" s="8"/>
    </row>
    <row r="51" spans="2:3" x14ac:dyDescent="0.3">
      <c r="B51" s="1" t="s">
        <v>15</v>
      </c>
      <c r="C51" s="8">
        <f ca="1">B$36*D12/100</f>
        <v>42.331470040253762</v>
      </c>
    </row>
    <row r="53" spans="2:3" x14ac:dyDescent="0.3">
      <c r="C53" s="5">
        <f ca="1">SUM(C44:C51)</f>
        <v>120.9470572578679</v>
      </c>
    </row>
  </sheetData>
  <sheetProtection selectLockedCells="1"/>
  <mergeCells count="6">
    <mergeCell ref="A21:E21"/>
    <mergeCell ref="A28:E28"/>
    <mergeCell ref="A11:E11"/>
    <mergeCell ref="A3:E3"/>
    <mergeCell ref="A2:E2"/>
    <mergeCell ref="A14:E14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31267CE-2DAA-4284-AED0-40B3B2AC879C}">
          <x14:formula1>
            <xm:f>'Recettes électrolyte'!$C$5:$H$5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F113-226D-4DE0-B83F-5614F4A89FC5}">
  <dimension ref="B3:C6"/>
  <sheetViews>
    <sheetView workbookViewId="0">
      <selection activeCell="C6" sqref="C6"/>
    </sheetView>
  </sheetViews>
  <sheetFormatPr baseColWidth="10" defaultColWidth="11.44140625" defaultRowHeight="14.4" x14ac:dyDescent="0.3"/>
  <cols>
    <col min="2" max="2" width="56.88671875" bestFit="1" customWidth="1"/>
  </cols>
  <sheetData>
    <row r="3" spans="2:3" x14ac:dyDescent="0.3">
      <c r="B3" s="3" t="s">
        <v>53</v>
      </c>
      <c r="C3" s="3">
        <v>36.700000000000003</v>
      </c>
    </row>
    <row r="4" spans="2:3" x14ac:dyDescent="0.3">
      <c r="B4" t="s">
        <v>54</v>
      </c>
      <c r="C4">
        <v>17.28</v>
      </c>
    </row>
    <row r="5" spans="2:3" x14ac:dyDescent="0.3">
      <c r="B5" t="s">
        <v>39</v>
      </c>
      <c r="C5">
        <v>69.11</v>
      </c>
    </row>
    <row r="6" spans="2:3" x14ac:dyDescent="0.3">
      <c r="B6" t="s">
        <v>41</v>
      </c>
      <c r="C6">
        <v>66.599999999999994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D72E-9588-4484-9F6B-C4CC603FB263}">
  <dimension ref="B4:H13"/>
  <sheetViews>
    <sheetView workbookViewId="0">
      <selection activeCell="B4" sqref="B4:H4"/>
    </sheetView>
  </sheetViews>
  <sheetFormatPr baseColWidth="10" defaultColWidth="11.44140625" defaultRowHeight="14.4" x14ac:dyDescent="0.3"/>
  <cols>
    <col min="3" max="3" width="17" customWidth="1"/>
  </cols>
  <sheetData>
    <row r="4" spans="2:8" x14ac:dyDescent="0.3">
      <c r="B4" s="16"/>
      <c r="C4" s="16"/>
      <c r="D4" s="16"/>
      <c r="E4" s="16"/>
      <c r="F4" s="16"/>
      <c r="G4" s="16"/>
      <c r="H4" s="16"/>
    </row>
    <row r="5" spans="2:8" x14ac:dyDescent="0.3">
      <c r="B5" t="s">
        <v>55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</row>
    <row r="6" spans="2:8" x14ac:dyDescent="0.3">
      <c r="B6" s="1" t="s">
        <v>4</v>
      </c>
      <c r="C6">
        <v>25</v>
      </c>
      <c r="D6">
        <f>C6-1</f>
        <v>24</v>
      </c>
    </row>
    <row r="7" spans="2:8" x14ac:dyDescent="0.3">
      <c r="B7" s="1" t="s">
        <v>6</v>
      </c>
      <c r="C7">
        <v>36</v>
      </c>
      <c r="D7">
        <f t="shared" ref="D7:D11" si="0">C7-1</f>
        <v>35</v>
      </c>
    </row>
    <row r="8" spans="2:8" x14ac:dyDescent="0.3">
      <c r="B8" s="1" t="s">
        <v>8</v>
      </c>
      <c r="C8">
        <v>1</v>
      </c>
      <c r="D8">
        <f t="shared" si="0"/>
        <v>0</v>
      </c>
    </row>
    <row r="9" spans="2:8" x14ac:dyDescent="0.3">
      <c r="B9" s="1" t="s">
        <v>10</v>
      </c>
      <c r="C9">
        <v>1</v>
      </c>
      <c r="D9">
        <f t="shared" si="0"/>
        <v>0</v>
      </c>
    </row>
    <row r="10" spans="2:8" x14ac:dyDescent="0.3">
      <c r="B10" s="1" t="s">
        <v>12</v>
      </c>
      <c r="C10">
        <v>1</v>
      </c>
      <c r="D10">
        <f t="shared" si="0"/>
        <v>0</v>
      </c>
    </row>
    <row r="11" spans="2:8" x14ac:dyDescent="0.3">
      <c r="B11" s="1" t="s">
        <v>13</v>
      </c>
      <c r="C11">
        <v>1</v>
      </c>
      <c r="D11">
        <f t="shared" si="0"/>
        <v>0</v>
      </c>
    </row>
    <row r="12" spans="2:8" x14ac:dyDescent="0.3">
      <c r="B12" s="1" t="s">
        <v>15</v>
      </c>
      <c r="C12">
        <v>35</v>
      </c>
      <c r="D12">
        <v>41</v>
      </c>
    </row>
    <row r="13" spans="2:8" x14ac:dyDescent="0.3">
      <c r="C13">
        <f>SUM(C6:C12)</f>
        <v>100</v>
      </c>
      <c r="D13">
        <f>SUM(D6:D12)</f>
        <v>100</v>
      </c>
    </row>
  </sheetData>
  <mergeCells count="1">
    <mergeCell ref="B4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B168C783D9D74286300109B170A114" ma:contentTypeVersion="17" ma:contentTypeDescription="Crée un document." ma:contentTypeScope="" ma:versionID="a2619a73449f33ae02c7ef68a02c30b1">
  <xsd:schema xmlns:xsd="http://www.w3.org/2001/XMLSchema" xmlns:xs="http://www.w3.org/2001/XMLSchema" xmlns:p="http://schemas.microsoft.com/office/2006/metadata/properties" xmlns:ns2="85653ba9-7e4b-4ac6-a769-2b209b44c430" xmlns:ns3="3c127f42-e1d2-4a93-9ad1-41e43fdc0d84" targetNamespace="http://schemas.microsoft.com/office/2006/metadata/properties" ma:root="true" ma:fieldsID="aa38eb647e91aba8d5ad4a7da9554787" ns2:_="" ns3:_="">
    <xsd:import namespace="85653ba9-7e4b-4ac6-a769-2b209b44c430"/>
    <xsd:import namespace="3c127f42-e1d2-4a93-9ad1-41e43fdc0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53ba9-7e4b-4ac6-a769-2b209b44c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2e2d636f-46da-4f79-a94b-0a78f03195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27f42-e1d2-4a93-9ad1-41e43fdc0d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0b8a1c8-4a8a-4206-8b06-f28fc771b07c}" ma:internalName="TaxCatchAll" ma:showField="CatchAllData" ma:web="3c127f42-e1d2-4a93-9ad1-41e43fdc0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653ba9-7e4b-4ac6-a769-2b209b44c430">
      <Terms xmlns="http://schemas.microsoft.com/office/infopath/2007/PartnerControls"/>
    </lcf76f155ced4ddcb4097134ff3c332f>
    <TaxCatchAll xmlns="3c127f42-e1d2-4a93-9ad1-41e43fdc0d84" xsi:nil="true"/>
  </documentManagement>
</p:properties>
</file>

<file path=customXml/itemProps1.xml><?xml version="1.0" encoding="utf-8"?>
<ds:datastoreItem xmlns:ds="http://schemas.openxmlformats.org/officeDocument/2006/customXml" ds:itemID="{EFB82A46-CC58-41AD-AC40-B4DAE36FD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53ba9-7e4b-4ac6-a769-2b209b44c430"/>
    <ds:schemaRef ds:uri="3c127f42-e1d2-4a93-9ad1-41e43fdc0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E02522-77FA-439A-A8A7-7BA0978B77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E568E4-BB03-492F-A8B0-C5385F8C1645}">
  <ds:schemaRefs>
    <ds:schemaRef ds:uri="http://schemas.microsoft.com/office/2006/metadata/properties"/>
    <ds:schemaRef ds:uri="http://schemas.microsoft.com/office/infopath/2007/PartnerControls"/>
    <ds:schemaRef ds:uri="85653ba9-7e4b-4ac6-a769-2b209b44c430"/>
    <ds:schemaRef ds:uri="3c127f42-e1d2-4a93-9ad1-41e43fdc0d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Protocole</vt:lpstr>
      <vt:lpstr>Données</vt:lpstr>
      <vt:lpstr>Recettes électrolyte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loic-hallez</dc:creator>
  <cp:keywords/>
  <dc:description/>
  <cp:lastModifiedBy>loic hallez</cp:lastModifiedBy>
  <cp:revision/>
  <dcterms:created xsi:type="dcterms:W3CDTF">2023-05-02T12:54:41Z</dcterms:created>
  <dcterms:modified xsi:type="dcterms:W3CDTF">2025-04-23T14:05:00Z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0x010100FEB168C783D9D74286300109B170A114</vt:lpwstr>
  </property>
  <property fmtid="{D5CDD505-2E9C-101B-9397-08002B2CF9AE}" pid="3" name="MediaServiceImageTags">
    <vt:lpwstr/>
  </property>
</Properties>
</file>